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ONSTER\Desktop\"/>
    </mc:Choice>
  </mc:AlternateContent>
  <xr:revisionPtr revIDLastSave="0" documentId="13_ncr:1_{F8E6A134-0797-4B64-ACC3-A7B564080BE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ayfa1" sheetId="1" r:id="rId1"/>
  </sheets>
  <definedNames>
    <definedName name="platingetiri">Sayfa1!$E$11:$E$72</definedName>
    <definedName name="solver_adj" localSheetId="0" hidden="1">Sayfa1!$X$15:$X$18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Sayfa1!$X$19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Sayfa1!$X$26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hs1" localSheetId="0" hidden="1">1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  <definedName name="tahvilgetiri">Sayfa1!$J$11:$J$72</definedName>
    <definedName name="thygetiri">Sayfa1!$T$11:$T$72</definedName>
    <definedName name="vakıfgetiri">Sayfa1!$O$11:$O$72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72" i="1" l="1"/>
  <c r="O72" i="1"/>
  <c r="J72" i="1"/>
  <c r="E72" i="1"/>
  <c r="T71" i="1"/>
  <c r="O71" i="1"/>
  <c r="J71" i="1"/>
  <c r="E71" i="1"/>
  <c r="T70" i="1"/>
  <c r="O70" i="1"/>
  <c r="J70" i="1"/>
  <c r="E70" i="1"/>
  <c r="T69" i="1"/>
  <c r="O69" i="1"/>
  <c r="J69" i="1"/>
  <c r="E69" i="1"/>
  <c r="T68" i="1"/>
  <c r="O68" i="1"/>
  <c r="J68" i="1"/>
  <c r="E68" i="1"/>
  <c r="T67" i="1"/>
  <c r="O67" i="1"/>
  <c r="J67" i="1"/>
  <c r="E67" i="1"/>
  <c r="T66" i="1"/>
  <c r="O66" i="1"/>
  <c r="J66" i="1"/>
  <c r="E66" i="1"/>
  <c r="T65" i="1"/>
  <c r="O65" i="1"/>
  <c r="J65" i="1"/>
  <c r="E65" i="1"/>
  <c r="T64" i="1"/>
  <c r="O64" i="1"/>
  <c r="J64" i="1"/>
  <c r="E64" i="1"/>
  <c r="T63" i="1"/>
  <c r="O63" i="1"/>
  <c r="J63" i="1"/>
  <c r="E63" i="1"/>
  <c r="T62" i="1"/>
  <c r="O62" i="1"/>
  <c r="J62" i="1"/>
  <c r="E62" i="1"/>
  <c r="T61" i="1"/>
  <c r="O61" i="1"/>
  <c r="J61" i="1"/>
  <c r="E61" i="1"/>
  <c r="T60" i="1"/>
  <c r="O60" i="1"/>
  <c r="J60" i="1"/>
  <c r="E60" i="1"/>
  <c r="T59" i="1"/>
  <c r="O59" i="1"/>
  <c r="J59" i="1"/>
  <c r="E59" i="1"/>
  <c r="T58" i="1"/>
  <c r="O58" i="1"/>
  <c r="J58" i="1"/>
  <c r="E58" i="1"/>
  <c r="T57" i="1"/>
  <c r="O57" i="1"/>
  <c r="J57" i="1"/>
  <c r="E57" i="1"/>
  <c r="T56" i="1"/>
  <c r="O56" i="1"/>
  <c r="J56" i="1"/>
  <c r="E56" i="1"/>
  <c r="T55" i="1"/>
  <c r="O55" i="1"/>
  <c r="J55" i="1"/>
  <c r="E55" i="1"/>
  <c r="T54" i="1"/>
  <c r="O54" i="1"/>
  <c r="J54" i="1"/>
  <c r="E54" i="1"/>
  <c r="T53" i="1"/>
  <c r="O53" i="1"/>
  <c r="J53" i="1"/>
  <c r="E53" i="1"/>
  <c r="T52" i="1"/>
  <c r="O52" i="1"/>
  <c r="J52" i="1"/>
  <c r="E52" i="1"/>
  <c r="T51" i="1"/>
  <c r="O51" i="1"/>
  <c r="J51" i="1"/>
  <c r="E51" i="1"/>
  <c r="T50" i="1"/>
  <c r="O50" i="1"/>
  <c r="J50" i="1"/>
  <c r="E50" i="1"/>
  <c r="T49" i="1"/>
  <c r="O49" i="1"/>
  <c r="J49" i="1"/>
  <c r="E49" i="1"/>
  <c r="T48" i="1"/>
  <c r="O48" i="1"/>
  <c r="J48" i="1"/>
  <c r="E48" i="1"/>
  <c r="T47" i="1"/>
  <c r="O47" i="1"/>
  <c r="J47" i="1"/>
  <c r="E47" i="1"/>
  <c r="T46" i="1"/>
  <c r="O46" i="1"/>
  <c r="J46" i="1"/>
  <c r="E46" i="1"/>
  <c r="T45" i="1"/>
  <c r="O45" i="1"/>
  <c r="J45" i="1"/>
  <c r="E45" i="1"/>
  <c r="T44" i="1"/>
  <c r="O44" i="1"/>
  <c r="J44" i="1"/>
  <c r="E44" i="1"/>
  <c r="T43" i="1"/>
  <c r="O43" i="1"/>
  <c r="J43" i="1"/>
  <c r="E43" i="1"/>
  <c r="T42" i="1"/>
  <c r="O42" i="1"/>
  <c r="J42" i="1"/>
  <c r="E42" i="1"/>
  <c r="T41" i="1"/>
  <c r="O41" i="1"/>
  <c r="J41" i="1"/>
  <c r="E41" i="1"/>
  <c r="T40" i="1"/>
  <c r="O40" i="1"/>
  <c r="J40" i="1"/>
  <c r="E40" i="1"/>
  <c r="T39" i="1"/>
  <c r="O39" i="1"/>
  <c r="J39" i="1"/>
  <c r="E39" i="1"/>
  <c r="T38" i="1"/>
  <c r="O38" i="1"/>
  <c r="J38" i="1"/>
  <c r="E38" i="1"/>
  <c r="T37" i="1"/>
  <c r="O37" i="1"/>
  <c r="J37" i="1"/>
  <c r="E37" i="1"/>
  <c r="T36" i="1"/>
  <c r="O36" i="1"/>
  <c r="J36" i="1"/>
  <c r="E36" i="1"/>
  <c r="T35" i="1"/>
  <c r="O35" i="1"/>
  <c r="J35" i="1"/>
  <c r="E35" i="1"/>
  <c r="T34" i="1"/>
  <c r="O34" i="1"/>
  <c r="J34" i="1"/>
  <c r="E34" i="1"/>
  <c r="T33" i="1"/>
  <c r="O33" i="1"/>
  <c r="J33" i="1"/>
  <c r="E33" i="1"/>
  <c r="T32" i="1"/>
  <c r="O32" i="1"/>
  <c r="J32" i="1"/>
  <c r="E32" i="1"/>
  <c r="T31" i="1"/>
  <c r="O31" i="1"/>
  <c r="J31" i="1"/>
  <c r="E31" i="1"/>
  <c r="T30" i="1"/>
  <c r="O30" i="1"/>
  <c r="J30" i="1"/>
  <c r="E30" i="1"/>
  <c r="T29" i="1"/>
  <c r="O29" i="1"/>
  <c r="J29" i="1"/>
  <c r="E29" i="1"/>
  <c r="T28" i="1"/>
  <c r="O28" i="1"/>
  <c r="J28" i="1"/>
  <c r="E28" i="1"/>
  <c r="T27" i="1"/>
  <c r="O27" i="1"/>
  <c r="J27" i="1"/>
  <c r="E27" i="1"/>
  <c r="T26" i="1"/>
  <c r="O26" i="1"/>
  <c r="J26" i="1"/>
  <c r="E26" i="1"/>
  <c r="T25" i="1"/>
  <c r="O25" i="1"/>
  <c r="J25" i="1"/>
  <c r="E25" i="1"/>
  <c r="T24" i="1"/>
  <c r="O24" i="1"/>
  <c r="J24" i="1"/>
  <c r="E24" i="1"/>
  <c r="AH4" i="1" s="1"/>
  <c r="T23" i="1"/>
  <c r="O23" i="1"/>
  <c r="J23" i="1"/>
  <c r="E23" i="1"/>
  <c r="T22" i="1"/>
  <c r="O22" i="1"/>
  <c r="J22" i="1"/>
  <c r="E22" i="1"/>
  <c r="X21" i="1"/>
  <c r="T21" i="1"/>
  <c r="O21" i="1"/>
  <c r="J21" i="1"/>
  <c r="E21" i="1"/>
  <c r="T20" i="1"/>
  <c r="O20" i="1"/>
  <c r="J20" i="1"/>
  <c r="E20" i="1"/>
  <c r="X19" i="1"/>
  <c r="T19" i="1"/>
  <c r="O19" i="1"/>
  <c r="J19" i="1"/>
  <c r="E19" i="1"/>
  <c r="T18" i="1"/>
  <c r="O18" i="1"/>
  <c r="J18" i="1"/>
  <c r="E18" i="1"/>
  <c r="T17" i="1"/>
  <c r="O17" i="1"/>
  <c r="J17" i="1"/>
  <c r="E17" i="1"/>
  <c r="T16" i="1"/>
  <c r="O16" i="1"/>
  <c r="AG4" i="1" s="1"/>
  <c r="J16" i="1"/>
  <c r="E16" i="1"/>
  <c r="T15" i="1"/>
  <c r="O15" i="1"/>
  <c r="J15" i="1"/>
  <c r="E15" i="1"/>
  <c r="T14" i="1"/>
  <c r="O14" i="1"/>
  <c r="J14" i="1"/>
  <c r="E14" i="1"/>
  <c r="T13" i="1"/>
  <c r="O13" i="1"/>
  <c r="J13" i="1"/>
  <c r="E13" i="1"/>
  <c r="AE4" i="1" s="1"/>
  <c r="T12" i="1"/>
  <c r="AE7" i="1" s="1"/>
  <c r="O12" i="1"/>
  <c r="AF6" i="1" s="1"/>
  <c r="J12" i="1"/>
  <c r="AG5" i="1" s="1"/>
  <c r="E12" i="1"/>
  <c r="T11" i="1"/>
  <c r="O11" i="1"/>
  <c r="J11" i="1"/>
  <c r="E11" i="1"/>
  <c r="X4" i="1" s="1"/>
  <c r="T10" i="1"/>
  <c r="O10" i="1"/>
  <c r="J10" i="1"/>
  <c r="E10" i="1"/>
  <c r="T9" i="1"/>
  <c r="O9" i="1"/>
  <c r="J9" i="1"/>
  <c r="E9" i="1"/>
  <c r="T8" i="1"/>
  <c r="O8" i="1"/>
  <c r="J8" i="1"/>
  <c r="E8" i="1"/>
  <c r="T7" i="1"/>
  <c r="O7" i="1"/>
  <c r="J7" i="1"/>
  <c r="E7" i="1"/>
  <c r="T6" i="1"/>
  <c r="O6" i="1"/>
  <c r="J6" i="1"/>
  <c r="E6" i="1"/>
  <c r="T5" i="1"/>
  <c r="O5" i="1"/>
  <c r="J5" i="1"/>
  <c r="E5" i="1"/>
  <c r="AF4" i="1"/>
  <c r="AF5" i="1" l="1"/>
  <c r="AH5" i="1"/>
  <c r="AE5" i="1"/>
  <c r="X25" i="1" s="1" a="1"/>
  <c r="X25" i="1" s="1"/>
  <c r="Y3" i="1"/>
  <c r="X9" i="1" s="1"/>
  <c r="AG7" i="1"/>
  <c r="AA3" i="1"/>
  <c r="X11" i="1" s="1"/>
  <c r="Y4" i="1"/>
  <c r="AG6" i="1"/>
  <c r="X3" i="1"/>
  <c r="X8" i="1" s="1"/>
  <c r="AF7" i="1"/>
  <c r="Z3" i="1"/>
  <c r="X10" i="1" s="1"/>
  <c r="AH7" i="1"/>
  <c r="Z4" i="1"/>
  <c r="AA4" i="1"/>
  <c r="AH6" i="1"/>
  <c r="AE6" i="1"/>
  <c r="X29" i="1" l="1"/>
  <c r="X24" i="1" a="1"/>
  <c r="X24" i="1" s="1"/>
  <c r="X26" i="1" s="1"/>
</calcChain>
</file>

<file path=xl/sharedStrings.xml><?xml version="1.0" encoding="utf-8"?>
<sst xmlns="http://schemas.openxmlformats.org/spreadsheetml/2006/main" count="52" uniqueCount="25">
  <si>
    <t>Platin Verileri</t>
  </si>
  <si>
    <t>Tahvil Verileri</t>
  </si>
  <si>
    <t>Vakıfbank Verileri</t>
  </si>
  <si>
    <t>THY Verileri</t>
  </si>
  <si>
    <t>Platin</t>
  </si>
  <si>
    <t>Tahvil</t>
  </si>
  <si>
    <t>Vakıfbank</t>
  </si>
  <si>
    <t>THY</t>
  </si>
  <si>
    <t>Varyans - Kovaryans Matrisi</t>
  </si>
  <si>
    <t>Tarih</t>
  </si>
  <si>
    <t>Fiyat(TL/Kg)</t>
  </si>
  <si>
    <t>Fark %</t>
  </si>
  <si>
    <t>Şimdi</t>
  </si>
  <si>
    <t>günlük getiriler</t>
  </si>
  <si>
    <t>test kısmı</t>
  </si>
  <si>
    <t>günlük varyans</t>
  </si>
  <si>
    <t>Getiriler</t>
  </si>
  <si>
    <t>Ağırlıklar</t>
  </si>
  <si>
    <t>Toplam  =</t>
  </si>
  <si>
    <t>risksiz faiz oranı</t>
  </si>
  <si>
    <t>Beklenen Getiri</t>
  </si>
  <si>
    <t>Standart Sapma</t>
  </si>
  <si>
    <t>Sharpe</t>
  </si>
  <si>
    <t>Günlük Portföy Getirisi =</t>
  </si>
  <si>
    <t>Yorum (Solver ile optimize edilmiş sonuç):
1. Düzeltme: risksiz faiz oranı yıllık yazılmıştı (%5), günlük getiriyle karşılaştırılamazdı; günlüğe çevrildi (0.05/252).
2. Bu düzeltmeden sonra Sharpe oranı maksimize edilerek ağırlıklar bulundu: %88.2 Platin, %11.8 THY, Tahvil ve Vakıfbank = 0.
3. Çesitlendirme var: risk, tek varlığa yatırmaya göre daha düşük (~%1.03 günlük std).
4. Sharpe oranı pozitif ve anlamlı bir seviyede (~0.043), öncekinin aksine.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</si>
</sst>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%"/>
    <numFmt numFmtId="165" formatCode="m/d/yyyy"/>
    <numFmt numFmtId="166" formatCode="0.000000%"/>
  </numFmts>
  <fonts count="17" x14ac:knownFonts="1">
    <font>
      <sz val="11"/>
      <color theme="1"/>
      <name val="Aptos Narrow"/>
      <family val="2"/>
      <charset val="162"/>
    </font>
    <font>
      <b/>
      <sz val="12"/>
      <name val="Aptos Narrow"/>
      <family val="2"/>
      <charset val="1"/>
    </font>
    <font>
      <b/>
      <sz val="12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4"/>
      <color theme="3"/>
      <name val="Arial"/>
      <family val="2"/>
      <charset val="162"/>
    </font>
    <font>
      <b/>
      <sz val="14"/>
      <color theme="1"/>
      <name val="Aptos Narrow"/>
      <family val="2"/>
      <charset val="1"/>
    </font>
    <font>
      <sz val="14"/>
      <color theme="1"/>
      <name val="Aptos Narrow"/>
      <family val="2"/>
      <charset val="162"/>
    </font>
    <font>
      <b/>
      <sz val="14"/>
      <color rgb="FF232526"/>
      <name val="Segoe UI"/>
      <family val="2"/>
      <charset val="162"/>
    </font>
    <font>
      <b/>
      <sz val="14"/>
      <color theme="1"/>
      <name val="Aptos Narrow"/>
      <family val="2"/>
      <charset val="162"/>
    </font>
    <font>
      <b/>
      <sz val="11"/>
      <color rgb="FF990000"/>
      <name val="Aptos Narrow"/>
      <family val="2"/>
      <charset val="1"/>
    </font>
    <font>
      <sz val="11"/>
      <color rgb="FF69747C"/>
      <name val="Arial"/>
      <family val="2"/>
      <charset val="162"/>
    </font>
    <font>
      <sz val="11"/>
      <color rgb="FF232526"/>
      <name val="Segoe UI"/>
      <family val="2"/>
      <charset val="162"/>
    </font>
    <font>
      <b/>
      <sz val="11"/>
      <color rgb="FF232526"/>
      <name val="Segoe UI"/>
      <family val="2"/>
      <charset val="162"/>
    </font>
    <font>
      <b/>
      <sz val="10"/>
      <color rgb="FF990000"/>
      <name val="Segoe UI"/>
      <family val="2"/>
      <charset val="162"/>
    </font>
    <font>
      <sz val="12"/>
      <color theme="1"/>
      <name val="Aptos Narrow"/>
      <family val="2"/>
      <charset val="1"/>
    </font>
    <font>
      <sz val="11"/>
      <color theme="1"/>
      <name val="Aptos Narrow"/>
      <family val="2"/>
      <charset val="1"/>
    </font>
    <font>
      <u/>
      <sz val="11"/>
      <color theme="10"/>
      <name val="Aptos Narrow"/>
      <family val="2"/>
      <charset val="162"/>
    </font>
  </fonts>
  <fills count="18">
    <fill>
      <patternFill patternType="none"/>
    </fill>
    <fill>
      <patternFill patternType="gray125"/>
    </fill>
    <fill>
      <patternFill patternType="solid">
        <fgColor theme="9" tint="0.79989013336588644"/>
        <bgColor rgb="FFC2F1C8"/>
      </patternFill>
    </fill>
    <fill>
      <patternFill patternType="solid">
        <fgColor theme="4" tint="0.79989013336588644"/>
        <bgColor rgb="FFDCEAF7"/>
      </patternFill>
    </fill>
    <fill>
      <patternFill patternType="solid">
        <fgColor theme="5" tint="0.79989013336588644"/>
        <bgColor rgb="FFF5DBDB"/>
      </patternFill>
    </fill>
    <fill>
      <patternFill patternType="solid">
        <fgColor theme="8" tint="0.79989013336588644"/>
        <bgColor rgb="FFF5DBDB"/>
      </patternFill>
    </fill>
    <fill>
      <patternFill patternType="solid">
        <fgColor theme="0"/>
        <bgColor rgb="FFE6F9FE"/>
      </patternFill>
    </fill>
    <fill>
      <patternFill patternType="solid">
        <fgColor rgb="FFE6F9FE"/>
        <bgColor rgb="FFDCEAF7"/>
      </patternFill>
    </fill>
    <fill>
      <patternFill patternType="solid">
        <fgColor theme="3" tint="0.89989928891872917"/>
        <bgColor rgb="FFE8E8E8"/>
      </patternFill>
    </fill>
    <fill>
      <patternFill patternType="solid">
        <fgColor theme="9" tint="0.39988402966399123"/>
        <bgColor rgb="FF83CBEB"/>
      </patternFill>
    </fill>
    <fill>
      <patternFill patternType="solid">
        <fgColor theme="4" tint="0.59987182226020086"/>
        <bgColor rgb="FFC1E5F5"/>
      </patternFill>
    </fill>
    <fill>
      <patternFill patternType="solid">
        <fgColor theme="5" tint="0.39988402966399123"/>
        <bgColor rgb="FFE59EDD"/>
      </patternFill>
    </fill>
    <fill>
      <patternFill patternType="solid">
        <fgColor theme="8" tint="0.59987182226020086"/>
        <bgColor rgb="FFF2AA84"/>
      </patternFill>
    </fill>
    <fill>
      <patternFill patternType="solid">
        <fgColor theme="6" tint="0.79989013336588644"/>
        <bgColor rgb="FFD9F2D0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0" tint="-0.14999847407452621"/>
        <bgColor rgb="FFD1D1D1"/>
      </patternFill>
    </fill>
    <fill>
      <patternFill patternType="solid">
        <fgColor rgb="FFF5DBDB"/>
        <bgColor rgb="FFFBE3D6"/>
      </patternFill>
    </fill>
    <fill>
      <patternFill patternType="solid">
        <fgColor theme="2"/>
        <bgColor rgb="FFDCEAF7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6" borderId="1" xfId="0" applyFill="1" applyBorder="1"/>
    <xf numFmtId="0" fontId="3" fillId="7" borderId="1" xfId="0" applyFont="1" applyFill="1" applyBorder="1"/>
    <xf numFmtId="0" fontId="0" fillId="6" borderId="2" xfId="0" applyFill="1" applyBorder="1" applyAlignment="1">
      <alignment vertical="center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6" fillId="0" borderId="0" xfId="0" applyFont="1"/>
    <xf numFmtId="0" fontId="7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wrapText="1"/>
    </xf>
    <xf numFmtId="164" fontId="9" fillId="6" borderId="1" xfId="0" applyNumberFormat="1" applyFont="1" applyFill="1" applyBorder="1"/>
    <xf numFmtId="0" fontId="0" fillId="0" borderId="4" xfId="0" applyBorder="1"/>
    <xf numFmtId="0" fontId="3" fillId="13" borderId="1" xfId="0" applyFont="1" applyFill="1" applyBorder="1"/>
    <xf numFmtId="165" fontId="10" fillId="6" borderId="1" xfId="0" applyNumberFormat="1" applyFont="1" applyFill="1" applyBorder="1" applyAlignment="1">
      <alignment horizontal="left" vertical="center" wrapText="1" indent="1"/>
    </xf>
    <xf numFmtId="4" fontId="10" fillId="6" borderId="1" xfId="0" applyNumberFormat="1" applyFont="1" applyFill="1" applyBorder="1" applyAlignment="1">
      <alignment horizontal="left" vertical="center" wrapText="1" indent="1"/>
    </xf>
    <xf numFmtId="10" fontId="9" fillId="0" borderId="1" xfId="0" applyNumberFormat="1" applyFont="1" applyBorder="1"/>
    <xf numFmtId="165" fontId="11" fillId="6" borderId="1" xfId="0" applyNumberFormat="1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right" vertical="center" wrapText="1" readingOrder="1"/>
    </xf>
    <xf numFmtId="0" fontId="0" fillId="0" borderId="1" xfId="0" applyBorder="1"/>
    <xf numFmtId="0" fontId="12" fillId="6" borderId="1" xfId="0" applyFont="1" applyFill="1" applyBorder="1" applyAlignment="1">
      <alignment horizontal="right" vertical="center" readingOrder="1"/>
    </xf>
    <xf numFmtId="0" fontId="3" fillId="7" borderId="1" xfId="0" applyFont="1" applyFill="1" applyBorder="1" applyAlignment="1">
      <alignment horizontal="left" wrapText="1"/>
    </xf>
    <xf numFmtId="164" fontId="9" fillId="0" borderId="1" xfId="0" applyNumberFormat="1" applyFont="1" applyBorder="1"/>
    <xf numFmtId="10" fontId="13" fillId="6" borderId="1" xfId="0" applyNumberFormat="1" applyFont="1" applyFill="1" applyBorder="1" applyAlignment="1">
      <alignment horizontal="right" vertical="center" readingOrder="1"/>
    </xf>
    <xf numFmtId="0" fontId="3" fillId="16" borderId="1" xfId="0" applyFont="1" applyFill="1" applyBorder="1" applyAlignment="1">
      <alignment horizontal="center" vertical="center"/>
    </xf>
    <xf numFmtId="0" fontId="3" fillId="16" borderId="1" xfId="0" applyFont="1" applyFill="1" applyBorder="1"/>
    <xf numFmtId="0" fontId="0" fillId="0" borderId="0" xfId="0" applyAlignment="1">
      <alignment horizontal="center" vertical="center"/>
    </xf>
    <xf numFmtId="0" fontId="3" fillId="0" borderId="1" xfId="0" applyFont="1" applyBorder="1"/>
    <xf numFmtId="0" fontId="3" fillId="6" borderId="1" xfId="0" applyFont="1" applyFill="1" applyBorder="1"/>
    <xf numFmtId="2" fontId="0" fillId="0" borderId="1" xfId="0" applyNumberFormat="1" applyBorder="1"/>
    <xf numFmtId="0" fontId="3" fillId="0" borderId="1" xfId="0" applyFont="1" applyBorder="1" applyAlignment="1">
      <alignment wrapText="1"/>
    </xf>
    <xf numFmtId="10" fontId="0" fillId="0" borderId="1" xfId="0" applyNumberFormat="1" applyBorder="1"/>
    <xf numFmtId="0" fontId="3" fillId="0" borderId="1" xfId="0" applyFont="1" applyBorder="1" applyAlignment="1">
      <alignment horizontal="center" vertical="center" wrapText="1"/>
    </xf>
    <xf numFmtId="164" fontId="0" fillId="0" borderId="1" xfId="0" applyNumberFormat="1" applyBorder="1"/>
    <xf numFmtId="0" fontId="3" fillId="6" borderId="1" xfId="0" applyFont="1" applyFill="1" applyBorder="1" applyAlignment="1">
      <alignment horizontal="center" vertical="center" wrapText="1"/>
    </xf>
    <xf numFmtId="164" fontId="15" fillId="6" borderId="1" xfId="0" applyNumberFormat="1" applyFont="1" applyFill="1" applyBorder="1"/>
    <xf numFmtId="166" fontId="0" fillId="0" borderId="0" xfId="0" applyNumberFormat="1"/>
    <xf numFmtId="0" fontId="16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8E8E8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D9D9D9"/>
      <rgbColor rgb="FF808080"/>
      <rgbColor rgb="FFC1E5F5"/>
      <rgbColor rgb="FF993366"/>
      <rgbColor rgb="FFFBE3D6"/>
      <rgbColor rgb="FFE6F9FE"/>
      <rgbColor rgb="FF660066"/>
      <rgbColor rgb="FFF2AA84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7"/>
      <rgbColor rgb="FFC2F1C8"/>
      <rgbColor rgb="FFD9F2D0"/>
      <rgbColor rgb="FF83CBEB"/>
      <rgbColor rgb="FFE59EDD"/>
      <rgbColor rgb="FFF2CFEE"/>
      <rgbColor rgb="FFF5DBDB"/>
      <rgbColor rgb="FF3366FF"/>
      <rgbColor rgb="FF33CCCC"/>
      <rgbColor rgb="FF8ED973"/>
      <rgbColor rgb="FFFFCC00"/>
      <rgbColor rgb="FFFF9900"/>
      <rgbColor rgb="FFFF6600"/>
      <rgbColor rgb="FF69747C"/>
      <rgbColor rgb="FF969696"/>
      <rgbColor rgb="FF0E2841"/>
      <rgbColor rgb="FF467886"/>
      <rgbColor rgb="FF003300"/>
      <rgbColor rgb="FF333300"/>
      <rgbColor rgb="FF993300"/>
      <rgbColor rgb="FF993366"/>
      <rgbColor rgb="FF333399"/>
      <rgbColor rgb="FF2325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H78"/>
  <sheetViews>
    <sheetView tabSelected="1" topLeftCell="M1" zoomScale="78" zoomScaleNormal="78" workbookViewId="0">
      <selection activeCell="AA14" sqref="AA14:AF23"/>
    </sheetView>
  </sheetViews>
  <sheetFormatPr defaultColWidth="8.5546875" defaultRowHeight="14.4" x14ac:dyDescent="0.3"/>
  <cols>
    <col min="3" max="3" width="12.6640625" customWidth="1"/>
    <col min="4" max="4" width="14.44140625" customWidth="1"/>
    <col min="8" max="8" width="11.33203125" customWidth="1"/>
    <col min="9" max="9" width="12.6640625" customWidth="1"/>
    <col min="10" max="10" width="9.5546875" customWidth="1"/>
    <col min="11" max="11" width="8.88671875" customWidth="1"/>
    <col min="13" max="13" width="11.33203125" customWidth="1"/>
    <col min="14" max="14" width="14.6640625" customWidth="1"/>
    <col min="15" max="16" width="9.44140625" customWidth="1"/>
    <col min="18" max="18" width="11.33203125" customWidth="1"/>
    <col min="19" max="19" width="13.21875" customWidth="1"/>
    <col min="20" max="20" width="10.109375" customWidth="1"/>
    <col min="21" max="21" width="11.109375" customWidth="1"/>
    <col min="24" max="24" width="12.77734375" customWidth="1"/>
    <col min="25" max="25" width="13.44140625" customWidth="1"/>
    <col min="26" max="26" width="14" customWidth="1"/>
    <col min="27" max="27" width="13.5546875" customWidth="1"/>
    <col min="28" max="28" width="12.5546875" customWidth="1"/>
    <col min="30" max="30" width="9.33203125" customWidth="1"/>
    <col min="31" max="31" width="13.77734375" customWidth="1"/>
    <col min="32" max="32" width="14.21875" customWidth="1"/>
    <col min="33" max="33" width="13.6640625" customWidth="1"/>
    <col min="34" max="34" width="14.21875" customWidth="1"/>
  </cols>
  <sheetData>
    <row r="2" spans="2:34" ht="15" customHeight="1" x14ac:dyDescent="0.3">
      <c r="C2" s="45" t="s">
        <v>0</v>
      </c>
      <c r="D2" s="45"/>
      <c r="E2" s="45"/>
      <c r="H2" s="46" t="s">
        <v>1</v>
      </c>
      <c r="I2" s="46"/>
      <c r="J2" s="46"/>
      <c r="M2" s="47" t="s">
        <v>2</v>
      </c>
      <c r="N2" s="47"/>
      <c r="O2" s="47"/>
      <c r="R2" s="48" t="s">
        <v>3</v>
      </c>
      <c r="S2" s="48"/>
      <c r="T2" s="48"/>
      <c r="W2" s="1"/>
      <c r="X2" s="2" t="s">
        <v>4</v>
      </c>
      <c r="Y2" s="2" t="s">
        <v>5</v>
      </c>
      <c r="Z2" s="2" t="s">
        <v>6</v>
      </c>
      <c r="AA2" s="2" t="s">
        <v>7</v>
      </c>
      <c r="AD2" s="3"/>
      <c r="AE2" s="49" t="s">
        <v>8</v>
      </c>
      <c r="AF2" s="49"/>
      <c r="AG2" s="49"/>
      <c r="AH2" s="49"/>
    </row>
    <row r="3" spans="2:34" ht="34.5" customHeight="1" x14ac:dyDescent="0.35">
      <c r="C3" s="4" t="s">
        <v>9</v>
      </c>
      <c r="D3" s="4" t="s">
        <v>10</v>
      </c>
      <c r="E3" s="5" t="s">
        <v>11</v>
      </c>
      <c r="F3" s="6"/>
      <c r="G3" s="6"/>
      <c r="H3" s="7" t="s">
        <v>9</v>
      </c>
      <c r="I3" s="7" t="s">
        <v>12</v>
      </c>
      <c r="J3" s="7" t="s">
        <v>11</v>
      </c>
      <c r="M3" s="8" t="s">
        <v>9</v>
      </c>
      <c r="N3" s="8" t="s">
        <v>12</v>
      </c>
      <c r="O3" s="8" t="s">
        <v>11</v>
      </c>
      <c r="R3" s="9" t="s">
        <v>9</v>
      </c>
      <c r="S3" s="9" t="s">
        <v>12</v>
      </c>
      <c r="T3" s="10" t="s">
        <v>11</v>
      </c>
      <c r="W3" s="11" t="s">
        <v>13</v>
      </c>
      <c r="X3" s="12">
        <f>AVERAGE(E11:E72)</f>
        <v>6.8882752080135087E-4</v>
      </c>
      <c r="Y3" s="12">
        <f>AVERAGE(J11:J72)</f>
        <v>-4.7872654640853654E-4</v>
      </c>
      <c r="Z3" s="12">
        <f>AVERAGE(O11:O72)</f>
        <v>-6.4238912386510043E-6</v>
      </c>
      <c r="AA3" s="12">
        <f>AVERAGE(T11:T72)</f>
        <v>3.1874187311210268E-4</v>
      </c>
      <c r="AD3" s="13"/>
      <c r="AE3" s="14" t="s">
        <v>4</v>
      </c>
      <c r="AF3" s="14" t="s">
        <v>5</v>
      </c>
      <c r="AG3" s="14" t="s">
        <v>6</v>
      </c>
      <c r="AH3" s="14" t="s">
        <v>7</v>
      </c>
    </row>
    <row r="4" spans="2:34" ht="32.25" customHeight="1" x14ac:dyDescent="0.3">
      <c r="B4" s="42" t="s">
        <v>14</v>
      </c>
      <c r="C4" s="15">
        <v>45660</v>
      </c>
      <c r="D4" s="16">
        <v>1062084.46</v>
      </c>
      <c r="E4" s="17"/>
      <c r="G4" s="42" t="s">
        <v>14</v>
      </c>
      <c r="H4" s="18">
        <v>45660</v>
      </c>
      <c r="I4" s="19">
        <v>30</v>
      </c>
      <c r="J4" s="20"/>
      <c r="L4" s="43" t="s">
        <v>14</v>
      </c>
      <c r="M4" s="18">
        <v>45660</v>
      </c>
      <c r="N4" s="19">
        <v>24.24</v>
      </c>
      <c r="O4" s="21"/>
      <c r="Q4" s="43" t="s">
        <v>14</v>
      </c>
      <c r="R4" s="18">
        <v>45660</v>
      </c>
      <c r="S4" s="19">
        <v>298</v>
      </c>
      <c r="T4" s="20"/>
      <c r="W4" s="22" t="s">
        <v>15</v>
      </c>
      <c r="X4" s="12">
        <f>VAR(E11:E72)</f>
        <v>1.3586616348929158E-4</v>
      </c>
      <c r="Y4" s="12">
        <f>VAR(J11:J72)</f>
        <v>8.5675434447483165E-5</v>
      </c>
      <c r="Z4" s="12">
        <f>VAR(O11:O72)</f>
        <v>6.8487924307206649E-4</v>
      </c>
      <c r="AA4" s="12">
        <f>VAR(T11:T72)</f>
        <v>3.0664035951314897E-4</v>
      </c>
      <c r="AD4" s="14" t="s">
        <v>4</v>
      </c>
      <c r="AE4" s="23">
        <f>COVAR(platingetiri,platingetiri)</f>
        <v>1.3367477375559334E-4</v>
      </c>
      <c r="AF4" s="23">
        <f>COVAR(platingetiri,tahvilgetiri)</f>
        <v>1.8959513954746172E-6</v>
      </c>
      <c r="AG4" s="23">
        <f>COVAR(platingetiri,vakıfgetiri)</f>
        <v>-3.5696952823672073E-5</v>
      </c>
      <c r="AH4" s="23">
        <f>COVAR(platingetiri,thygetiri)</f>
        <v>-7.7400956772371312E-6</v>
      </c>
    </row>
    <row r="5" spans="2:34" ht="16.5" customHeight="1" x14ac:dyDescent="0.3">
      <c r="B5" s="42"/>
      <c r="C5" s="15">
        <v>45659</v>
      </c>
      <c r="D5" s="16">
        <v>1043744.5</v>
      </c>
      <c r="E5" s="17">
        <f t="shared" ref="E5:E36" si="0">(D5-D4)/D4</f>
        <v>-1.7267892235237076E-2</v>
      </c>
      <c r="G5" s="42"/>
      <c r="H5" s="18">
        <v>45659</v>
      </c>
      <c r="I5" s="19">
        <v>30.19</v>
      </c>
      <c r="J5" s="17">
        <f t="shared" ref="J5:J36" si="1">(I5-I4)/I4</f>
        <v>6.3333333333333757E-3</v>
      </c>
      <c r="L5" s="43"/>
      <c r="M5" s="18">
        <v>45659</v>
      </c>
      <c r="N5" s="19">
        <v>24.06</v>
      </c>
      <c r="O5" s="24">
        <f t="shared" ref="O5:O36" si="2">(N5-N4)/N4</f>
        <v>-7.4257425742574141E-3</v>
      </c>
      <c r="Q5" s="43"/>
      <c r="R5" s="18">
        <v>45659</v>
      </c>
      <c r="S5" s="19">
        <v>287.5</v>
      </c>
      <c r="T5" s="17">
        <f t="shared" ref="T5:T36" si="3">(S5-S4)/S4</f>
        <v>-3.5234899328859058E-2</v>
      </c>
      <c r="AD5" s="14" t="s">
        <v>5</v>
      </c>
      <c r="AE5" s="23">
        <f>COVAR(tahvilgetiri,platingetiri)</f>
        <v>1.8959513954746172E-6</v>
      </c>
      <c r="AF5" s="23">
        <f>COVAR(tahvilgetiri,tahvilgetiri)</f>
        <v>8.4293572601555988E-5</v>
      </c>
      <c r="AG5" s="23">
        <f>COVAR(tahvilgetiri,vakıfgetiri)</f>
        <v>-8.6292784355790732E-5</v>
      </c>
      <c r="AH5" s="23">
        <f>COVAR(tahvilgetiri,thygetiri)</f>
        <v>-4.2570587467803042E-5</v>
      </c>
    </row>
    <row r="6" spans="2:34" ht="16.5" customHeight="1" x14ac:dyDescent="0.3">
      <c r="B6" s="42"/>
      <c r="C6" s="15">
        <v>45657</v>
      </c>
      <c r="D6" s="16">
        <v>1030044.61</v>
      </c>
      <c r="E6" s="17">
        <f t="shared" si="0"/>
        <v>-1.3125712279202442E-2</v>
      </c>
      <c r="G6" s="42"/>
      <c r="H6" s="18">
        <v>45657</v>
      </c>
      <c r="I6" s="19">
        <v>30.71</v>
      </c>
      <c r="J6" s="17">
        <f t="shared" si="1"/>
        <v>1.7224246439218268E-2</v>
      </c>
      <c r="L6" s="43"/>
      <c r="M6" s="18">
        <v>45657</v>
      </c>
      <c r="N6" s="19">
        <v>23.32</v>
      </c>
      <c r="O6" s="24">
        <f t="shared" si="2"/>
        <v>-3.0756442227763862E-2</v>
      </c>
      <c r="Q6" s="43"/>
      <c r="R6" s="18">
        <v>45657</v>
      </c>
      <c r="S6" s="19">
        <v>281</v>
      </c>
      <c r="T6" s="17">
        <f t="shared" si="3"/>
        <v>-2.2608695652173914E-2</v>
      </c>
      <c r="AD6" s="14" t="s">
        <v>6</v>
      </c>
      <c r="AE6" s="23">
        <f>COVAR(vakıfgetiri,platingetiri)</f>
        <v>-3.5696952823672073E-5</v>
      </c>
      <c r="AF6" s="23">
        <f>COVAR(vakıfgetiri,tahvilgetiri)</f>
        <v>-8.6292784355790732E-5</v>
      </c>
      <c r="AG6" s="23">
        <f>COVAR(vakıfgetiri,vakıfgetiri)</f>
        <v>6.7383280366767827E-4</v>
      </c>
      <c r="AH6" s="23">
        <f>COVAR(vakıfgetiri,thygetiri)</f>
        <v>1.3575184269051273E-4</v>
      </c>
    </row>
    <row r="7" spans="2:34" ht="16.5" customHeight="1" x14ac:dyDescent="0.3">
      <c r="B7" s="42"/>
      <c r="C7" s="15">
        <v>45656</v>
      </c>
      <c r="D7" s="16">
        <v>1048221.26</v>
      </c>
      <c r="E7" s="17">
        <f t="shared" si="0"/>
        <v>1.7646468729155356E-2</v>
      </c>
      <c r="G7" s="42"/>
      <c r="H7" s="18">
        <v>45656</v>
      </c>
      <c r="I7" s="19">
        <v>30.67</v>
      </c>
      <c r="J7" s="17">
        <f t="shared" si="1"/>
        <v>-1.3025073266036843E-3</v>
      </c>
      <c r="L7" s="43"/>
      <c r="M7" s="18">
        <v>45656</v>
      </c>
      <c r="N7" s="19">
        <v>23.46</v>
      </c>
      <c r="O7" s="24">
        <f t="shared" si="2"/>
        <v>6.0034305317324425E-3</v>
      </c>
      <c r="Q7" s="43"/>
      <c r="R7" s="18">
        <v>45656</v>
      </c>
      <c r="S7" s="19">
        <v>282.25</v>
      </c>
      <c r="T7" s="17">
        <f t="shared" si="3"/>
        <v>4.4483985765124559E-3</v>
      </c>
      <c r="W7" s="1"/>
      <c r="X7" s="25" t="s">
        <v>16</v>
      </c>
      <c r="AD7" s="14" t="s">
        <v>7</v>
      </c>
      <c r="AE7" s="23">
        <f>COVAR(thygetiri,platingetiri)</f>
        <v>-7.7400956772371312E-6</v>
      </c>
      <c r="AF7" s="23">
        <f>COVAR(thygetiri,tahvilgetiri)</f>
        <v>-4.2570587467803042E-5</v>
      </c>
      <c r="AG7" s="23">
        <f>COVAR(thygetiri,vakıfgetiri)</f>
        <v>1.3575184269051273E-4</v>
      </c>
      <c r="AH7" s="23">
        <f>COVAR(thygetiri,thygetiri)</f>
        <v>3.0169454726293687E-4</v>
      </c>
    </row>
    <row r="8" spans="2:34" ht="16.5" customHeight="1" x14ac:dyDescent="0.3">
      <c r="B8" s="42"/>
      <c r="C8" s="15">
        <v>45653</v>
      </c>
      <c r="D8" s="16">
        <v>1059790.24</v>
      </c>
      <c r="E8" s="17">
        <f t="shared" si="0"/>
        <v>1.103677290422442E-2</v>
      </c>
      <c r="G8" s="42"/>
      <c r="H8" s="18">
        <v>45653</v>
      </c>
      <c r="I8" s="19">
        <v>30.75</v>
      </c>
      <c r="J8" s="17">
        <f t="shared" si="1"/>
        <v>2.6084121291163448E-3</v>
      </c>
      <c r="L8" s="43"/>
      <c r="M8" s="18">
        <v>45653</v>
      </c>
      <c r="N8" s="19">
        <v>23.64</v>
      </c>
      <c r="O8" s="24">
        <f t="shared" si="2"/>
        <v>7.6726342710997314E-3</v>
      </c>
      <c r="Q8" s="43"/>
      <c r="R8" s="18">
        <v>45653</v>
      </c>
      <c r="S8" s="19">
        <v>290.75</v>
      </c>
      <c r="T8" s="17">
        <f t="shared" si="3"/>
        <v>3.0115146147032774E-2</v>
      </c>
      <c r="W8" s="26" t="s">
        <v>4</v>
      </c>
      <c r="X8" s="12">
        <f>X3</f>
        <v>6.8882752080135087E-4</v>
      </c>
    </row>
    <row r="9" spans="2:34" ht="16.5" customHeight="1" x14ac:dyDescent="0.3">
      <c r="B9" s="42"/>
      <c r="C9" s="15">
        <v>45652</v>
      </c>
      <c r="D9" s="16">
        <v>1063982.1499999999</v>
      </c>
      <c r="E9" s="17">
        <f t="shared" si="0"/>
        <v>3.9554147998191761E-3</v>
      </c>
      <c r="G9" s="42"/>
      <c r="H9" s="18">
        <v>45652</v>
      </c>
      <c r="I9" s="19">
        <v>30.95</v>
      </c>
      <c r="J9" s="17">
        <f t="shared" si="1"/>
        <v>6.5040650406503831E-3</v>
      </c>
      <c r="L9" s="43"/>
      <c r="M9" s="18">
        <v>45652</v>
      </c>
      <c r="N9" s="19">
        <v>23.5</v>
      </c>
      <c r="O9" s="24">
        <f t="shared" si="2"/>
        <v>-5.9221658206430015E-3</v>
      </c>
      <c r="Q9" s="43"/>
      <c r="R9" s="18">
        <v>45652</v>
      </c>
      <c r="S9" s="19">
        <v>290</v>
      </c>
      <c r="T9" s="17">
        <f t="shared" si="3"/>
        <v>-2.5795356835769563E-3</v>
      </c>
      <c r="W9" s="26" t="s">
        <v>5</v>
      </c>
      <c r="X9" s="12">
        <f>Y3</f>
        <v>-4.7872654640853654E-4</v>
      </c>
    </row>
    <row r="10" spans="2:34" ht="16.5" customHeight="1" x14ac:dyDescent="0.3">
      <c r="B10" s="42"/>
      <c r="C10" s="15">
        <v>45651</v>
      </c>
      <c r="D10" s="16">
        <v>1069904.28</v>
      </c>
      <c r="E10" s="17">
        <f t="shared" si="0"/>
        <v>5.5660050311935414E-3</v>
      </c>
      <c r="G10" s="42"/>
      <c r="H10" s="18">
        <v>45651</v>
      </c>
      <c r="I10" s="19">
        <v>31.16</v>
      </c>
      <c r="J10" s="17">
        <f t="shared" si="1"/>
        <v>6.7851373182552781E-3</v>
      </c>
      <c r="L10" s="43"/>
      <c r="M10" s="18">
        <v>45651</v>
      </c>
      <c r="N10" s="19">
        <v>23.66</v>
      </c>
      <c r="O10" s="24">
        <f t="shared" si="2"/>
        <v>6.8085106382978784E-3</v>
      </c>
      <c r="Q10" s="43"/>
      <c r="R10" s="18">
        <v>45651</v>
      </c>
      <c r="S10" s="19">
        <v>288.25</v>
      </c>
      <c r="T10" s="17">
        <f t="shared" si="3"/>
        <v>-6.0344827586206896E-3</v>
      </c>
      <c r="W10" s="26" t="s">
        <v>6</v>
      </c>
      <c r="X10" s="12">
        <f>Z3</f>
        <v>-6.4238912386510043E-6</v>
      </c>
    </row>
    <row r="11" spans="2:34" ht="16.5" customHeight="1" x14ac:dyDescent="0.3">
      <c r="B11" s="27"/>
      <c r="C11" s="15">
        <v>45650</v>
      </c>
      <c r="D11" s="16">
        <v>1071168.8700000001</v>
      </c>
      <c r="E11" s="17">
        <f t="shared" si="0"/>
        <v>1.1819655492920206E-3</v>
      </c>
      <c r="H11" s="18">
        <v>45650</v>
      </c>
      <c r="I11" s="19">
        <v>32.19</v>
      </c>
      <c r="J11" s="17">
        <f t="shared" si="1"/>
        <v>3.3055198973042287E-2</v>
      </c>
      <c r="M11" s="18">
        <v>45650</v>
      </c>
      <c r="N11" s="19">
        <v>22.94</v>
      </c>
      <c r="O11" s="24">
        <f t="shared" si="2"/>
        <v>-3.0431107354184229E-2</v>
      </c>
      <c r="R11" s="18">
        <v>45650</v>
      </c>
      <c r="S11" s="19">
        <v>285.5</v>
      </c>
      <c r="T11" s="17">
        <f t="shared" si="3"/>
        <v>-9.5403295750216832E-3</v>
      </c>
      <c r="W11" s="26" t="s">
        <v>7</v>
      </c>
      <c r="X11" s="12">
        <f>AA3</f>
        <v>3.1874187311210268E-4</v>
      </c>
    </row>
    <row r="12" spans="2:34" ht="16.5" customHeight="1" x14ac:dyDescent="0.3">
      <c r="C12" s="15">
        <v>45649</v>
      </c>
      <c r="D12" s="16">
        <v>1060684.47</v>
      </c>
      <c r="E12" s="17">
        <f t="shared" si="0"/>
        <v>-9.787812448283844E-3</v>
      </c>
      <c r="H12" s="18">
        <v>45649</v>
      </c>
      <c r="I12" s="19">
        <v>32.08</v>
      </c>
      <c r="J12" s="17">
        <f t="shared" si="1"/>
        <v>-3.4172103137620207E-3</v>
      </c>
      <c r="M12" s="18">
        <v>45649</v>
      </c>
      <c r="N12" s="19">
        <v>22.7</v>
      </c>
      <c r="O12" s="24">
        <f t="shared" si="2"/>
        <v>-1.0462074978204096E-2</v>
      </c>
      <c r="R12" s="18">
        <v>45649</v>
      </c>
      <c r="S12" s="19">
        <v>286</v>
      </c>
      <c r="T12" s="17">
        <f t="shared" si="3"/>
        <v>1.7513134851138354E-3</v>
      </c>
    </row>
    <row r="13" spans="2:34" ht="16.5" customHeight="1" x14ac:dyDescent="0.3">
      <c r="C13" s="15">
        <v>45646</v>
      </c>
      <c r="D13" s="16">
        <v>1052925.29</v>
      </c>
      <c r="E13" s="17">
        <f t="shared" si="0"/>
        <v>-7.3152574770892374E-3</v>
      </c>
      <c r="H13" s="18">
        <v>45646</v>
      </c>
      <c r="I13" s="19">
        <v>31.82</v>
      </c>
      <c r="J13" s="17">
        <f t="shared" si="1"/>
        <v>-8.1047381546134039E-3</v>
      </c>
      <c r="M13" s="18">
        <v>45646</v>
      </c>
      <c r="N13" s="19">
        <v>22.54</v>
      </c>
      <c r="O13" s="24">
        <f t="shared" si="2"/>
        <v>-7.0484581497797421E-3</v>
      </c>
      <c r="R13" s="18">
        <v>45646</v>
      </c>
      <c r="S13" s="19">
        <v>289.75</v>
      </c>
      <c r="T13" s="17">
        <f t="shared" si="3"/>
        <v>1.3111888111888112E-2</v>
      </c>
    </row>
    <row r="14" spans="2:34" ht="16.5" customHeight="1" x14ac:dyDescent="0.3">
      <c r="C14" s="15">
        <v>45645</v>
      </c>
      <c r="D14" s="16">
        <v>1049319.6000000001</v>
      </c>
      <c r="E14" s="17">
        <f t="shared" si="0"/>
        <v>-3.4244499911289471E-3</v>
      </c>
      <c r="H14" s="18">
        <v>45645</v>
      </c>
      <c r="I14" s="19">
        <v>31.88</v>
      </c>
      <c r="J14" s="17">
        <f t="shared" si="1"/>
        <v>1.8856065367692872E-3</v>
      </c>
      <c r="M14" s="18">
        <v>45645</v>
      </c>
      <c r="N14" s="19">
        <v>22.4</v>
      </c>
      <c r="O14" s="24">
        <f t="shared" si="2"/>
        <v>-6.2111801242236281E-3</v>
      </c>
      <c r="R14" s="18">
        <v>45645</v>
      </c>
      <c r="S14" s="19">
        <v>289.5</v>
      </c>
      <c r="T14" s="17">
        <f t="shared" si="3"/>
        <v>-8.6281276962899055E-4</v>
      </c>
      <c r="W14" s="20"/>
      <c r="X14" s="28" t="s">
        <v>17</v>
      </c>
      <c r="AA14" s="44" t="s">
        <v>24</v>
      </c>
      <c r="AB14" s="44"/>
      <c r="AC14" s="44"/>
      <c r="AD14" s="44"/>
      <c r="AE14" s="44"/>
      <c r="AF14" s="44"/>
    </row>
    <row r="15" spans="2:34" ht="16.5" customHeight="1" x14ac:dyDescent="0.3">
      <c r="C15" s="15">
        <v>45644</v>
      </c>
      <c r="D15" s="16">
        <v>1052908.47</v>
      </c>
      <c r="E15" s="17">
        <f t="shared" si="0"/>
        <v>3.4201877102075277E-3</v>
      </c>
      <c r="H15" s="18">
        <v>45644</v>
      </c>
      <c r="I15" s="19">
        <v>31.62</v>
      </c>
      <c r="J15" s="17">
        <f t="shared" si="1"/>
        <v>-8.1555834378920326E-3</v>
      </c>
      <c r="M15" s="18">
        <v>45644</v>
      </c>
      <c r="N15" s="19">
        <v>22.68</v>
      </c>
      <c r="O15" s="24">
        <f t="shared" si="2"/>
        <v>1.2500000000000051E-2</v>
      </c>
      <c r="R15" s="18">
        <v>45644</v>
      </c>
      <c r="S15" s="19">
        <v>290.5</v>
      </c>
      <c r="T15" s="17">
        <f t="shared" si="3"/>
        <v>3.4542314335060447E-3</v>
      </c>
      <c r="W15" s="29" t="s">
        <v>4</v>
      </c>
      <c r="X15" s="30">
        <v>0.8821</v>
      </c>
      <c r="AA15" s="44"/>
      <c r="AB15" s="44"/>
      <c r="AC15" s="44"/>
      <c r="AD15" s="44"/>
      <c r="AE15" s="44"/>
      <c r="AF15" s="44"/>
    </row>
    <row r="16" spans="2:34" ht="16.5" customHeight="1" x14ac:dyDescent="0.3">
      <c r="C16" s="15">
        <v>45643</v>
      </c>
      <c r="D16" s="16">
        <v>1053530.29</v>
      </c>
      <c r="E16" s="17">
        <f t="shared" si="0"/>
        <v>5.9057365166799848E-4</v>
      </c>
      <c r="H16" s="18">
        <v>45643</v>
      </c>
      <c r="I16" s="19">
        <v>31.49</v>
      </c>
      <c r="J16" s="17">
        <f t="shared" si="1"/>
        <v>-4.111321948134173E-3</v>
      </c>
      <c r="M16" s="18">
        <v>45643</v>
      </c>
      <c r="N16" s="19">
        <v>22.66</v>
      </c>
      <c r="O16" s="24">
        <f t="shared" si="2"/>
        <v>-8.818342151675297E-4</v>
      </c>
      <c r="R16" s="18">
        <v>45643</v>
      </c>
      <c r="S16" s="19">
        <v>297.75</v>
      </c>
      <c r="T16" s="17">
        <f t="shared" si="3"/>
        <v>2.4956970740103269E-2</v>
      </c>
      <c r="W16" s="29" t="s">
        <v>5</v>
      </c>
      <c r="X16" s="20">
        <v>0</v>
      </c>
      <c r="AA16" s="44"/>
      <c r="AB16" s="44"/>
      <c r="AC16" s="44"/>
      <c r="AD16" s="44"/>
      <c r="AE16" s="44"/>
      <c r="AF16" s="44"/>
    </row>
    <row r="17" spans="3:32" ht="16.5" customHeight="1" x14ac:dyDescent="0.3">
      <c r="C17" s="15">
        <v>45642</v>
      </c>
      <c r="D17" s="16">
        <v>1048175.49</v>
      </c>
      <c r="E17" s="17">
        <f t="shared" si="0"/>
        <v>-5.0827204977657043E-3</v>
      </c>
      <c r="H17" s="18">
        <v>45642</v>
      </c>
      <c r="I17" s="19">
        <v>31.89</v>
      </c>
      <c r="J17" s="17">
        <f t="shared" si="1"/>
        <v>1.2702445220705055E-2</v>
      </c>
      <c r="M17" s="18">
        <v>45642</v>
      </c>
      <c r="N17" s="19">
        <v>22.4</v>
      </c>
      <c r="O17" s="24">
        <f t="shared" si="2"/>
        <v>-1.1473962930273678E-2</v>
      </c>
      <c r="R17" s="18">
        <v>45642</v>
      </c>
      <c r="S17" s="19">
        <v>295.5</v>
      </c>
      <c r="T17" s="17">
        <f t="shared" si="3"/>
        <v>-7.556675062972292E-3</v>
      </c>
      <c r="W17" s="29" t="s">
        <v>6</v>
      </c>
      <c r="X17" s="30">
        <v>0</v>
      </c>
      <c r="AA17" s="44"/>
      <c r="AB17" s="44"/>
      <c r="AC17" s="44"/>
      <c r="AD17" s="44"/>
      <c r="AE17" s="44"/>
      <c r="AF17" s="44"/>
    </row>
    <row r="18" spans="3:32" ht="16.5" customHeight="1" x14ac:dyDescent="0.3">
      <c r="C18" s="15">
        <v>45639</v>
      </c>
      <c r="D18" s="16">
        <v>1056337.05</v>
      </c>
      <c r="E18" s="17">
        <f t="shared" si="0"/>
        <v>7.7864442336846246E-3</v>
      </c>
      <c r="H18" s="18">
        <v>45639</v>
      </c>
      <c r="I18" s="19">
        <v>32.01</v>
      </c>
      <c r="J18" s="17">
        <f t="shared" si="1"/>
        <v>3.7629350893696283E-3</v>
      </c>
      <c r="M18" s="18">
        <v>45639</v>
      </c>
      <c r="N18" s="19">
        <v>22.72</v>
      </c>
      <c r="O18" s="24">
        <f t="shared" si="2"/>
        <v>1.4285714285714299E-2</v>
      </c>
      <c r="R18" s="18">
        <v>45639</v>
      </c>
      <c r="S18" s="19">
        <v>299.25</v>
      </c>
      <c r="T18" s="17">
        <f t="shared" si="3"/>
        <v>1.2690355329949238E-2</v>
      </c>
      <c r="W18" s="29" t="s">
        <v>7</v>
      </c>
      <c r="X18" s="30">
        <v>0.1179</v>
      </c>
      <c r="AA18" s="44"/>
      <c r="AB18" s="44"/>
      <c r="AC18" s="44"/>
      <c r="AD18" s="44"/>
      <c r="AE18" s="44"/>
      <c r="AF18" s="44"/>
    </row>
    <row r="19" spans="3:32" ht="16.5" customHeight="1" x14ac:dyDescent="0.3">
      <c r="C19" s="15">
        <v>45638</v>
      </c>
      <c r="D19" s="16">
        <v>1052986.95</v>
      </c>
      <c r="E19" s="17">
        <f t="shared" si="0"/>
        <v>-3.1714309367451353E-3</v>
      </c>
      <c r="H19" s="18">
        <v>45638</v>
      </c>
      <c r="I19" s="19">
        <v>31.92</v>
      </c>
      <c r="J19" s="17">
        <f t="shared" si="1"/>
        <v>-2.811621368322284E-3</v>
      </c>
      <c r="M19" s="18">
        <v>45638</v>
      </c>
      <c r="N19" s="19">
        <v>22.74</v>
      </c>
      <c r="O19" s="24">
        <f t="shared" si="2"/>
        <v>8.8028169014082633E-4</v>
      </c>
      <c r="R19" s="18">
        <v>45638</v>
      </c>
      <c r="S19" s="19">
        <v>298.5</v>
      </c>
      <c r="T19" s="17">
        <f t="shared" si="3"/>
        <v>-2.5062656641604009E-3</v>
      </c>
      <c r="W19" s="29" t="s">
        <v>18</v>
      </c>
      <c r="X19" s="20">
        <f>SUM(X15:X18)</f>
        <v>1</v>
      </c>
      <c r="AA19" s="44"/>
      <c r="AB19" s="44"/>
      <c r="AC19" s="44"/>
      <c r="AD19" s="44"/>
      <c r="AE19" s="44"/>
      <c r="AF19" s="44"/>
    </row>
    <row r="20" spans="3:32" ht="16.5" customHeight="1" x14ac:dyDescent="0.3">
      <c r="C20" s="15">
        <v>45637</v>
      </c>
      <c r="D20" s="16">
        <v>1051078.8700000001</v>
      </c>
      <c r="E20" s="17">
        <f t="shared" si="0"/>
        <v>-1.8120642425813935E-3</v>
      </c>
      <c r="H20" s="18">
        <v>45637</v>
      </c>
      <c r="I20" s="19">
        <v>31.93</v>
      </c>
      <c r="J20" s="17">
        <f t="shared" si="1"/>
        <v>3.1328320801998777E-4</v>
      </c>
      <c r="M20" s="18">
        <v>45637</v>
      </c>
      <c r="N20" s="19">
        <v>22.2</v>
      </c>
      <c r="O20" s="24">
        <f t="shared" si="2"/>
        <v>-2.3746701846965663E-2</v>
      </c>
      <c r="R20" s="18">
        <v>45637</v>
      </c>
      <c r="S20" s="19">
        <v>301.25</v>
      </c>
      <c r="T20" s="17">
        <f t="shared" si="3"/>
        <v>9.212730318257957E-3</v>
      </c>
      <c r="AA20" s="44"/>
      <c r="AB20" s="44"/>
      <c r="AC20" s="44"/>
      <c r="AD20" s="44"/>
      <c r="AE20" s="44"/>
      <c r="AF20" s="44"/>
    </row>
    <row r="21" spans="3:32" ht="28.5" customHeight="1" x14ac:dyDescent="0.3">
      <c r="C21" s="15">
        <v>45636</v>
      </c>
      <c r="D21" s="16">
        <v>1056190.26</v>
      </c>
      <c r="E21" s="17">
        <f t="shared" si="0"/>
        <v>4.8629937732454819E-3</v>
      </c>
      <c r="H21" s="18">
        <v>45636</v>
      </c>
      <c r="I21" s="19">
        <v>32.06</v>
      </c>
      <c r="J21" s="17">
        <f t="shared" si="1"/>
        <v>4.0714062010649091E-3</v>
      </c>
      <c r="M21" s="18">
        <v>45636</v>
      </c>
      <c r="N21" s="19">
        <v>22.82</v>
      </c>
      <c r="O21" s="24">
        <f t="shared" si="2"/>
        <v>2.7927927927927972E-2</v>
      </c>
      <c r="R21" s="18">
        <v>45636</v>
      </c>
      <c r="S21" s="19">
        <v>299.25</v>
      </c>
      <c r="T21" s="17">
        <f t="shared" si="3"/>
        <v>-6.6390041493775932E-3</v>
      </c>
      <c r="W21" s="31" t="s">
        <v>19</v>
      </c>
      <c r="X21" s="32">
        <f>0.05/252</f>
        <v>1.9841269841269841E-4</v>
      </c>
      <c r="AA21" s="44"/>
      <c r="AB21" s="44"/>
      <c r="AC21" s="44"/>
      <c r="AD21" s="44"/>
      <c r="AE21" s="44"/>
      <c r="AF21" s="44"/>
    </row>
    <row r="22" spans="3:32" ht="16.5" customHeight="1" x14ac:dyDescent="0.3">
      <c r="C22" s="15">
        <v>45635</v>
      </c>
      <c r="D22" s="16">
        <v>1061841.72</v>
      </c>
      <c r="E22" s="17">
        <f t="shared" si="0"/>
        <v>5.3507973080531559E-3</v>
      </c>
      <c r="H22" s="18">
        <v>45635</v>
      </c>
      <c r="I22" s="19">
        <v>31.57</v>
      </c>
      <c r="J22" s="17">
        <f t="shared" si="1"/>
        <v>-1.5283842794759887E-2</v>
      </c>
      <c r="M22" s="18">
        <v>45635</v>
      </c>
      <c r="N22" s="19">
        <v>23.62</v>
      </c>
      <c r="O22" s="24">
        <f t="shared" si="2"/>
        <v>3.5056967572305024E-2</v>
      </c>
      <c r="R22" s="18">
        <v>45635</v>
      </c>
      <c r="S22" s="19">
        <v>300.5</v>
      </c>
      <c r="T22" s="17">
        <f t="shared" si="3"/>
        <v>4.1771094402673348E-3</v>
      </c>
      <c r="AA22" s="44"/>
      <c r="AB22" s="44"/>
      <c r="AC22" s="44"/>
      <c r="AD22" s="44"/>
      <c r="AE22" s="44"/>
      <c r="AF22" s="44"/>
    </row>
    <row r="23" spans="3:32" ht="16.5" customHeight="1" x14ac:dyDescent="0.3">
      <c r="C23" s="15">
        <v>45632</v>
      </c>
      <c r="D23" s="16">
        <v>1052208.1200000001</v>
      </c>
      <c r="E23" s="17">
        <f t="shared" si="0"/>
        <v>-9.0725386077313494E-3</v>
      </c>
      <c r="H23" s="18">
        <v>45632</v>
      </c>
      <c r="I23" s="19">
        <v>31.4</v>
      </c>
      <c r="J23" s="17">
        <f t="shared" si="1"/>
        <v>-5.3848590433956825E-3</v>
      </c>
      <c r="M23" s="18">
        <v>45632</v>
      </c>
      <c r="N23" s="19">
        <v>23.76</v>
      </c>
      <c r="O23" s="24">
        <f t="shared" si="2"/>
        <v>5.9271803556308449E-3</v>
      </c>
      <c r="R23" s="18">
        <v>45632</v>
      </c>
      <c r="S23" s="19">
        <v>300.5</v>
      </c>
      <c r="T23" s="17">
        <f t="shared" si="3"/>
        <v>0</v>
      </c>
      <c r="AA23" s="44"/>
      <c r="AB23" s="44"/>
      <c r="AC23" s="44"/>
      <c r="AD23" s="44"/>
      <c r="AE23" s="44"/>
      <c r="AF23" s="44"/>
    </row>
    <row r="24" spans="3:32" ht="28.5" customHeight="1" x14ac:dyDescent="0.3">
      <c r="C24" s="15">
        <v>45631</v>
      </c>
      <c r="D24" s="16">
        <v>1053812.99</v>
      </c>
      <c r="E24" s="17">
        <f t="shared" si="0"/>
        <v>1.5252400827318066E-3</v>
      </c>
      <c r="H24" s="18">
        <v>45631</v>
      </c>
      <c r="I24" s="19">
        <v>31.42</v>
      </c>
      <c r="J24" s="17">
        <f t="shared" si="1"/>
        <v>6.3694267515933527E-4</v>
      </c>
      <c r="M24" s="18">
        <v>45631</v>
      </c>
      <c r="N24" s="19">
        <v>23.46</v>
      </c>
      <c r="O24" s="24">
        <f t="shared" si="2"/>
        <v>-1.2626262626262656E-2</v>
      </c>
      <c r="R24" s="18">
        <v>45631</v>
      </c>
      <c r="S24" s="19">
        <v>293.5</v>
      </c>
      <c r="T24" s="17">
        <f t="shared" si="3"/>
        <v>-2.329450915141431E-2</v>
      </c>
      <c r="W24" s="33" t="s">
        <v>20</v>
      </c>
      <c r="X24" s="34">
        <f t="array" ref="X24">MMULT(TRANSPOSE(X15:X18),X8:X11)</f>
        <v>6.4519442293878846E-4</v>
      </c>
    </row>
    <row r="25" spans="3:32" ht="28.5" customHeight="1" x14ac:dyDescent="0.3">
      <c r="C25" s="15">
        <v>45630</v>
      </c>
      <c r="D25" s="16">
        <v>1047288.42</v>
      </c>
      <c r="E25" s="17">
        <f t="shared" si="0"/>
        <v>-6.1913926492782644E-3</v>
      </c>
      <c r="H25" s="18">
        <v>45630</v>
      </c>
      <c r="I25" s="19">
        <v>31.16</v>
      </c>
      <c r="J25" s="17">
        <f t="shared" si="1"/>
        <v>-8.2749840865691138E-3</v>
      </c>
      <c r="M25" s="18">
        <v>45630</v>
      </c>
      <c r="N25" s="19">
        <v>23.1</v>
      </c>
      <c r="O25" s="24">
        <f t="shared" si="2"/>
        <v>-1.5345268542199463E-2</v>
      </c>
      <c r="R25" s="18">
        <v>45630</v>
      </c>
      <c r="S25" s="19">
        <v>289</v>
      </c>
      <c r="T25" s="17">
        <f t="shared" si="3"/>
        <v>-1.5332197614991482E-2</v>
      </c>
      <c r="W25" s="31" t="s">
        <v>21</v>
      </c>
      <c r="X25" s="34">
        <f t="array" ref="X25">SQRT(MMULT(MMULT(TRANSPOSE(X15:X18),AE4:AH7),X15:X18))</f>
        <v>1.0324540697465275E-2</v>
      </c>
    </row>
    <row r="26" spans="3:32" ht="16.5" customHeight="1" x14ac:dyDescent="0.3">
      <c r="C26" s="15">
        <v>45629</v>
      </c>
      <c r="D26" s="16">
        <v>1066093.46</v>
      </c>
      <c r="E26" s="17">
        <f t="shared" si="0"/>
        <v>1.7955932330465298E-2</v>
      </c>
      <c r="H26" s="18">
        <v>45629</v>
      </c>
      <c r="I26" s="19">
        <v>30.99</v>
      </c>
      <c r="J26" s="17">
        <f t="shared" si="1"/>
        <v>-5.4557124518614152E-3</v>
      </c>
      <c r="M26" s="18">
        <v>45629</v>
      </c>
      <c r="N26" s="19">
        <v>23.4</v>
      </c>
      <c r="O26" s="24">
        <f t="shared" si="2"/>
        <v>1.2987012987012863E-2</v>
      </c>
      <c r="R26" s="18">
        <v>45629</v>
      </c>
      <c r="S26" s="19">
        <v>287</v>
      </c>
      <c r="T26" s="17">
        <f t="shared" si="3"/>
        <v>-6.920415224913495E-3</v>
      </c>
      <c r="W26" s="28" t="s">
        <v>22</v>
      </c>
      <c r="X26" s="34">
        <f>(X24-X21)/X25</f>
        <v>4.3273762738499075E-2</v>
      </c>
    </row>
    <row r="27" spans="3:32" ht="16.5" customHeight="1" x14ac:dyDescent="0.3">
      <c r="C27" s="15">
        <v>45628</v>
      </c>
      <c r="D27" s="16">
        <v>1056121.03</v>
      </c>
      <c r="E27" s="17">
        <f t="shared" si="0"/>
        <v>-9.3541798858797383E-3</v>
      </c>
      <c r="H27" s="18">
        <v>45628</v>
      </c>
      <c r="I27" s="19">
        <v>31.17</v>
      </c>
      <c r="J27" s="17">
        <f t="shared" si="1"/>
        <v>5.808325266215014E-3</v>
      </c>
      <c r="M27" s="18">
        <v>45628</v>
      </c>
      <c r="N27" s="19">
        <v>23.14</v>
      </c>
      <c r="O27" s="24">
        <f t="shared" si="2"/>
        <v>-1.1111111111111027E-2</v>
      </c>
      <c r="R27" s="18">
        <v>45628</v>
      </c>
      <c r="S27" s="19">
        <v>285.5</v>
      </c>
      <c r="T27" s="17">
        <f t="shared" si="3"/>
        <v>-5.2264808362369342E-3</v>
      </c>
    </row>
    <row r="28" spans="3:32" ht="16.5" customHeight="1" x14ac:dyDescent="0.3">
      <c r="C28" s="15">
        <v>45625</v>
      </c>
      <c r="D28" s="16">
        <v>1049263.22</v>
      </c>
      <c r="E28" s="17">
        <f t="shared" si="0"/>
        <v>-6.4933940383708252E-3</v>
      </c>
      <c r="H28" s="18">
        <v>45625</v>
      </c>
      <c r="I28" s="19">
        <v>30.94</v>
      </c>
      <c r="J28" s="17">
        <f t="shared" si="1"/>
        <v>-7.3788899582932438E-3</v>
      </c>
      <c r="M28" s="18">
        <v>45625</v>
      </c>
      <c r="N28" s="19">
        <v>23.18</v>
      </c>
      <c r="O28" s="24">
        <f t="shared" si="2"/>
        <v>1.7286084701814671E-3</v>
      </c>
      <c r="R28" s="18">
        <v>45625</v>
      </c>
      <c r="S28" s="19">
        <v>285</v>
      </c>
      <c r="T28" s="17">
        <f t="shared" si="3"/>
        <v>-1.7513134851138354E-3</v>
      </c>
    </row>
    <row r="29" spans="3:32" ht="42.75" customHeight="1" x14ac:dyDescent="0.3">
      <c r="C29" s="15">
        <v>45624</v>
      </c>
      <c r="D29" s="16">
        <v>1039501.43</v>
      </c>
      <c r="E29" s="17">
        <f t="shared" si="0"/>
        <v>-9.3034710584822752E-3</v>
      </c>
      <c r="H29" s="18">
        <v>45624</v>
      </c>
      <c r="I29" s="19">
        <v>30.98</v>
      </c>
      <c r="J29" s="17">
        <f t="shared" si="1"/>
        <v>1.2928248222365594E-3</v>
      </c>
      <c r="M29" s="18">
        <v>45624</v>
      </c>
      <c r="N29" s="19">
        <v>23.1</v>
      </c>
      <c r="O29" s="24">
        <f t="shared" si="2"/>
        <v>-3.4512510785158885E-3</v>
      </c>
      <c r="R29" s="18">
        <v>45624</v>
      </c>
      <c r="S29" s="19">
        <v>287.25</v>
      </c>
      <c r="T29" s="17">
        <f t="shared" si="3"/>
        <v>7.8947368421052634E-3</v>
      </c>
      <c r="W29" s="35" t="s">
        <v>23</v>
      </c>
      <c r="X29" s="36">
        <f>(X8*X15)+(X9*X16)+(X10*X17)+(X11*X18)</f>
        <v>6.4519442293878846E-4</v>
      </c>
    </row>
    <row r="30" spans="3:32" ht="16.5" customHeight="1" x14ac:dyDescent="0.3">
      <c r="C30" s="15">
        <v>45623</v>
      </c>
      <c r="D30" s="16">
        <v>1041232.34</v>
      </c>
      <c r="E30" s="17">
        <f t="shared" si="0"/>
        <v>1.6651347944753824E-3</v>
      </c>
      <c r="H30" s="18">
        <v>45623</v>
      </c>
      <c r="I30" s="19">
        <v>31.04</v>
      </c>
      <c r="J30" s="17">
        <f t="shared" si="1"/>
        <v>1.9367333763718115E-3</v>
      </c>
      <c r="M30" s="18">
        <v>45623</v>
      </c>
      <c r="N30" s="19">
        <v>23.14</v>
      </c>
      <c r="O30" s="24">
        <f t="shared" si="2"/>
        <v>1.7316017316016945E-3</v>
      </c>
      <c r="R30" s="18">
        <v>45623</v>
      </c>
      <c r="S30" s="19">
        <v>292.5</v>
      </c>
      <c r="T30" s="17">
        <f t="shared" si="3"/>
        <v>1.8276762402088774E-2</v>
      </c>
    </row>
    <row r="31" spans="3:32" ht="16.5" customHeight="1" x14ac:dyDescent="0.3">
      <c r="C31" s="15">
        <v>45622</v>
      </c>
      <c r="D31" s="16">
        <v>1044990.58</v>
      </c>
      <c r="E31" s="17">
        <f t="shared" si="0"/>
        <v>3.6094153587277081E-3</v>
      </c>
      <c r="H31" s="18">
        <v>45622</v>
      </c>
      <c r="I31" s="19">
        <v>31.18</v>
      </c>
      <c r="J31" s="17">
        <f t="shared" si="1"/>
        <v>4.5103092783505341E-3</v>
      </c>
      <c r="M31" s="18">
        <v>45622</v>
      </c>
      <c r="N31" s="19">
        <v>23.62</v>
      </c>
      <c r="O31" s="24">
        <f t="shared" si="2"/>
        <v>2.0743301642178063E-2</v>
      </c>
      <c r="R31" s="18">
        <v>45622</v>
      </c>
      <c r="S31" s="19">
        <v>294</v>
      </c>
      <c r="T31" s="17">
        <f t="shared" si="3"/>
        <v>5.1282051282051282E-3</v>
      </c>
      <c r="AA31" s="37"/>
    </row>
    <row r="32" spans="3:32" ht="16.5" customHeight="1" x14ac:dyDescent="0.3">
      <c r="C32" s="15">
        <v>45621</v>
      </c>
      <c r="D32" s="16">
        <v>1059968.19</v>
      </c>
      <c r="E32" s="17">
        <f t="shared" si="0"/>
        <v>1.4332770348992033E-2</v>
      </c>
      <c r="H32" s="18">
        <v>45621</v>
      </c>
      <c r="I32" s="19">
        <v>31.17</v>
      </c>
      <c r="J32" s="17">
        <f t="shared" si="1"/>
        <v>-3.2071840923662636E-4</v>
      </c>
      <c r="M32" s="18">
        <v>45621</v>
      </c>
      <c r="N32" s="19">
        <v>24.54</v>
      </c>
      <c r="O32" s="24">
        <f t="shared" si="2"/>
        <v>3.8950042337002458E-2</v>
      </c>
      <c r="R32" s="18">
        <v>45621</v>
      </c>
      <c r="S32" s="19">
        <v>296.25</v>
      </c>
      <c r="T32" s="17">
        <f t="shared" si="3"/>
        <v>7.6530612244897957E-3</v>
      </c>
    </row>
    <row r="33" spans="3:20" ht="16.5" customHeight="1" x14ac:dyDescent="0.3">
      <c r="C33" s="15">
        <v>45618</v>
      </c>
      <c r="D33" s="16">
        <v>1070131.24</v>
      </c>
      <c r="E33" s="17">
        <f t="shared" si="0"/>
        <v>9.5880707514440101E-3</v>
      </c>
      <c r="H33" s="18">
        <v>45618</v>
      </c>
      <c r="I33" s="19">
        <v>31.13</v>
      </c>
      <c r="J33" s="17">
        <f t="shared" si="1"/>
        <v>-1.2832852101380397E-3</v>
      </c>
      <c r="M33" s="18">
        <v>45618</v>
      </c>
      <c r="N33" s="19">
        <v>25.52</v>
      </c>
      <c r="O33" s="24">
        <f t="shared" si="2"/>
        <v>3.9934800325998387E-2</v>
      </c>
      <c r="R33" s="18">
        <v>45618</v>
      </c>
      <c r="S33" s="19">
        <v>279.5</v>
      </c>
      <c r="T33" s="17">
        <f t="shared" si="3"/>
        <v>-5.6540084388185655E-2</v>
      </c>
    </row>
    <row r="34" spans="3:20" ht="16.5" customHeight="1" x14ac:dyDescent="0.3">
      <c r="C34" s="15">
        <v>45617</v>
      </c>
      <c r="D34" s="16">
        <v>1066231.06</v>
      </c>
      <c r="E34" s="17">
        <f t="shared" si="0"/>
        <v>-3.6445810141940488E-3</v>
      </c>
      <c r="H34" s="18">
        <v>45617</v>
      </c>
      <c r="I34" s="19">
        <v>31.76</v>
      </c>
      <c r="J34" s="17">
        <f t="shared" si="1"/>
        <v>2.0237712817218201E-2</v>
      </c>
      <c r="M34" s="18">
        <v>45617</v>
      </c>
      <c r="N34" s="19">
        <v>24.94</v>
      </c>
      <c r="O34" s="24">
        <f t="shared" si="2"/>
        <v>-2.2727272727272662E-2</v>
      </c>
      <c r="R34" s="18">
        <v>45617</v>
      </c>
      <c r="S34" s="19">
        <v>279.75</v>
      </c>
      <c r="T34" s="17">
        <f t="shared" si="3"/>
        <v>8.9445438282647585E-4</v>
      </c>
    </row>
    <row r="35" spans="3:20" ht="16.5" customHeight="1" x14ac:dyDescent="0.3">
      <c r="C35" s="15">
        <v>45616</v>
      </c>
      <c r="D35" s="16">
        <v>1074690.5600000001</v>
      </c>
      <c r="E35" s="17">
        <f t="shared" si="0"/>
        <v>7.9340213555587086E-3</v>
      </c>
      <c r="H35" s="18">
        <v>45616</v>
      </c>
      <c r="I35" s="19">
        <v>32.57</v>
      </c>
      <c r="J35" s="17">
        <f t="shared" si="1"/>
        <v>2.5503778337531445E-2</v>
      </c>
      <c r="M35" s="18">
        <v>45616</v>
      </c>
      <c r="N35" s="19">
        <v>23.88</v>
      </c>
      <c r="O35" s="24">
        <f t="shared" si="2"/>
        <v>-4.2502004811547804E-2</v>
      </c>
      <c r="R35" s="18">
        <v>45616</v>
      </c>
      <c r="S35" s="19">
        <v>271</v>
      </c>
      <c r="T35" s="17">
        <f t="shared" si="3"/>
        <v>-3.1277926720285967E-2</v>
      </c>
    </row>
    <row r="36" spans="3:20" ht="16.5" customHeight="1" x14ac:dyDescent="0.3">
      <c r="C36" s="15">
        <v>45615</v>
      </c>
      <c r="D36" s="16">
        <v>1076817.31</v>
      </c>
      <c r="E36" s="17">
        <f t="shared" si="0"/>
        <v>1.9789417337023971E-3</v>
      </c>
      <c r="H36" s="18">
        <v>45615</v>
      </c>
      <c r="I36" s="19">
        <v>33.049999999999997</v>
      </c>
      <c r="J36" s="17">
        <f t="shared" si="1"/>
        <v>1.4737488486337024E-2</v>
      </c>
      <c r="M36" s="18">
        <v>45615</v>
      </c>
      <c r="N36" s="19">
        <v>23.54</v>
      </c>
      <c r="O36" s="24">
        <f t="shared" si="2"/>
        <v>-1.4237855946398655E-2</v>
      </c>
      <c r="R36" s="18">
        <v>45615</v>
      </c>
      <c r="S36" s="19">
        <v>279</v>
      </c>
      <c r="T36" s="17">
        <f t="shared" si="3"/>
        <v>2.9520295202952029E-2</v>
      </c>
    </row>
    <row r="37" spans="3:20" ht="16.5" customHeight="1" x14ac:dyDescent="0.3">
      <c r="C37" s="15">
        <v>45614</v>
      </c>
      <c r="D37" s="16">
        <v>1065536.55</v>
      </c>
      <c r="E37" s="17">
        <f t="shared" ref="E37:E68" si="4">(D37-D36)/D36</f>
        <v>-1.0476020300973811E-2</v>
      </c>
      <c r="H37" s="18">
        <v>45614</v>
      </c>
      <c r="I37" s="19">
        <v>32.83</v>
      </c>
      <c r="J37" s="17">
        <f t="shared" ref="J37:J68" si="5">(I37-I36)/I36</f>
        <v>-6.6565809379727347E-3</v>
      </c>
      <c r="M37" s="18">
        <v>45614</v>
      </c>
      <c r="N37" s="19">
        <v>24.14</v>
      </c>
      <c r="O37" s="24">
        <f t="shared" ref="O37:O68" si="6">(N37-N36)/N36</f>
        <v>2.5488530161427419E-2</v>
      </c>
      <c r="R37" s="18">
        <v>45614</v>
      </c>
      <c r="S37" s="19">
        <v>288.75</v>
      </c>
      <c r="T37" s="17">
        <f t="shared" ref="T37:T68" si="7">(S37-S36)/S36</f>
        <v>3.4946236559139782E-2</v>
      </c>
    </row>
    <row r="38" spans="3:20" ht="16.5" customHeight="1" x14ac:dyDescent="0.3">
      <c r="C38" s="15">
        <v>45611</v>
      </c>
      <c r="D38" s="16">
        <v>1049137.9099999999</v>
      </c>
      <c r="E38" s="17">
        <f t="shared" si="4"/>
        <v>-1.5390030496842299E-2</v>
      </c>
      <c r="H38" s="18">
        <v>45611</v>
      </c>
      <c r="I38" s="19">
        <v>32.67</v>
      </c>
      <c r="J38" s="17">
        <f t="shared" si="5"/>
        <v>-4.8735912275356865E-3</v>
      </c>
      <c r="M38" s="18">
        <v>45611</v>
      </c>
      <c r="N38" s="19">
        <v>23.9</v>
      </c>
      <c r="O38" s="24">
        <f t="shared" si="6"/>
        <v>-9.9420049710025674E-3</v>
      </c>
      <c r="R38" s="18">
        <v>45611</v>
      </c>
      <c r="S38" s="19">
        <v>289.75</v>
      </c>
      <c r="T38" s="17">
        <f t="shared" si="7"/>
        <v>3.4632034632034632E-3</v>
      </c>
    </row>
    <row r="39" spans="3:20" ht="16.5" customHeight="1" x14ac:dyDescent="0.3">
      <c r="C39" s="15">
        <v>45610</v>
      </c>
      <c r="D39" s="16">
        <v>1032951.64</v>
      </c>
      <c r="E39" s="17">
        <f t="shared" si="4"/>
        <v>-1.5428162347121651E-2</v>
      </c>
      <c r="H39" s="18">
        <v>45610</v>
      </c>
      <c r="I39" s="19">
        <v>32.65</v>
      </c>
      <c r="J39" s="17">
        <f t="shared" si="5"/>
        <v>-6.1218243036434417E-4</v>
      </c>
      <c r="M39" s="18">
        <v>45610</v>
      </c>
      <c r="N39" s="19">
        <v>24.04</v>
      </c>
      <c r="O39" s="24">
        <f t="shared" si="6"/>
        <v>5.8577405857740831E-3</v>
      </c>
      <c r="R39" s="18">
        <v>45610</v>
      </c>
      <c r="S39" s="19">
        <v>286.5</v>
      </c>
      <c r="T39" s="17">
        <f t="shared" si="7"/>
        <v>-1.1216566005176877E-2</v>
      </c>
    </row>
    <row r="40" spans="3:20" ht="16.5" customHeight="1" x14ac:dyDescent="0.3">
      <c r="C40" s="15">
        <v>45609</v>
      </c>
      <c r="D40" s="16">
        <v>1044922.23</v>
      </c>
      <c r="E40" s="17">
        <f t="shared" si="4"/>
        <v>1.1588722585308997E-2</v>
      </c>
      <c r="H40" s="18">
        <v>45609</v>
      </c>
      <c r="I40" s="19">
        <v>32.61</v>
      </c>
      <c r="J40" s="17">
        <f t="shared" si="5"/>
        <v>-1.225114854517585E-3</v>
      </c>
      <c r="M40" s="18">
        <v>45609</v>
      </c>
      <c r="N40" s="19">
        <v>23.48</v>
      </c>
      <c r="O40" s="24">
        <f t="shared" si="6"/>
        <v>-2.3294509151414258E-2</v>
      </c>
      <c r="R40" s="18">
        <v>45609</v>
      </c>
      <c r="S40" s="19">
        <v>283.75</v>
      </c>
      <c r="T40" s="17">
        <f t="shared" si="7"/>
        <v>-9.5986038394415361E-3</v>
      </c>
    </row>
    <row r="41" spans="3:20" ht="16.5" customHeight="1" x14ac:dyDescent="0.3">
      <c r="C41" s="15">
        <v>45608</v>
      </c>
      <c r="D41" s="16">
        <v>1055849.1200000001</v>
      </c>
      <c r="E41" s="17">
        <f t="shared" si="4"/>
        <v>1.0457132297778879E-2</v>
      </c>
      <c r="H41" s="18">
        <v>45608</v>
      </c>
      <c r="I41" s="19">
        <v>32.71</v>
      </c>
      <c r="J41" s="17">
        <f t="shared" si="5"/>
        <v>3.066544004906514E-3</v>
      </c>
      <c r="M41" s="18">
        <v>45608</v>
      </c>
      <c r="N41" s="19">
        <v>22.7</v>
      </c>
      <c r="O41" s="24">
        <f t="shared" si="6"/>
        <v>-3.3219761499148258E-2</v>
      </c>
      <c r="R41" s="18">
        <v>45608</v>
      </c>
      <c r="S41" s="19">
        <v>286.5</v>
      </c>
      <c r="T41" s="17">
        <f t="shared" si="7"/>
        <v>9.6916299559471359E-3</v>
      </c>
    </row>
    <row r="42" spans="3:20" ht="16.5" customHeight="1" x14ac:dyDescent="0.3">
      <c r="C42" s="15">
        <v>45607</v>
      </c>
      <c r="D42" s="16">
        <v>1076359.27</v>
      </c>
      <c r="E42" s="17">
        <f t="shared" si="4"/>
        <v>1.9425265988761636E-2</v>
      </c>
      <c r="H42" s="18">
        <v>45607</v>
      </c>
      <c r="I42" s="19">
        <v>32.47</v>
      </c>
      <c r="J42" s="17">
        <f t="shared" si="5"/>
        <v>-7.3372057474778958E-3</v>
      </c>
      <c r="M42" s="18">
        <v>45607</v>
      </c>
      <c r="N42" s="19">
        <v>22.84</v>
      </c>
      <c r="O42" s="24">
        <f t="shared" si="6"/>
        <v>6.1674008810572939E-3</v>
      </c>
      <c r="R42" s="18">
        <v>45607</v>
      </c>
      <c r="S42" s="19">
        <v>288</v>
      </c>
      <c r="T42" s="17">
        <f t="shared" si="7"/>
        <v>5.235602094240838E-3</v>
      </c>
    </row>
    <row r="43" spans="3:20" ht="16.5" customHeight="1" x14ac:dyDescent="0.3">
      <c r="C43" s="15">
        <v>45604</v>
      </c>
      <c r="D43" s="16">
        <v>1084242.18</v>
      </c>
      <c r="E43" s="17">
        <f t="shared" si="4"/>
        <v>7.323679202391146E-3</v>
      </c>
      <c r="H43" s="18">
        <v>45604</v>
      </c>
      <c r="I43" s="19">
        <v>32.340000000000003</v>
      </c>
      <c r="J43" s="17">
        <f t="shared" si="5"/>
        <v>-4.0036957191252063E-3</v>
      </c>
      <c r="M43" s="18">
        <v>45604</v>
      </c>
      <c r="N43" s="19">
        <v>21.16</v>
      </c>
      <c r="O43" s="24">
        <f t="shared" si="6"/>
        <v>-7.3555166374781072E-2</v>
      </c>
      <c r="R43" s="18">
        <v>45604</v>
      </c>
      <c r="S43" s="19">
        <v>290.25</v>
      </c>
      <c r="T43" s="17">
        <f t="shared" si="7"/>
        <v>7.8125E-3</v>
      </c>
    </row>
    <row r="44" spans="3:20" ht="16.5" customHeight="1" x14ac:dyDescent="0.3">
      <c r="C44" s="15">
        <v>45603</v>
      </c>
      <c r="D44" s="16">
        <v>1079747.83</v>
      </c>
      <c r="E44" s="17">
        <f t="shared" si="4"/>
        <v>-4.1451532534916326E-3</v>
      </c>
      <c r="H44" s="18">
        <v>45603</v>
      </c>
      <c r="I44" s="19">
        <v>32.83</v>
      </c>
      <c r="J44" s="17">
        <f t="shared" si="5"/>
        <v>1.5151515151514992E-2</v>
      </c>
      <c r="M44" s="18">
        <v>45603</v>
      </c>
      <c r="N44" s="19">
        <v>20.2</v>
      </c>
      <c r="O44" s="24">
        <f t="shared" si="6"/>
        <v>-4.5368620037807221E-2</v>
      </c>
      <c r="R44" s="18">
        <v>45603</v>
      </c>
      <c r="S44" s="19">
        <v>282.75</v>
      </c>
      <c r="T44" s="17">
        <f t="shared" si="7"/>
        <v>-2.5839793281653745E-2</v>
      </c>
    </row>
    <row r="45" spans="3:20" ht="16.5" customHeight="1" x14ac:dyDescent="0.3">
      <c r="C45" s="15">
        <v>45602</v>
      </c>
      <c r="D45" s="16">
        <v>1079571.46</v>
      </c>
      <c r="E45" s="17">
        <f t="shared" si="4"/>
        <v>-1.6334369479595226E-4</v>
      </c>
      <c r="H45" s="18">
        <v>45602</v>
      </c>
      <c r="I45" s="19">
        <v>33.130000000000003</v>
      </c>
      <c r="J45" s="17">
        <f t="shared" si="5"/>
        <v>9.1379835516297372E-3</v>
      </c>
      <c r="M45" s="18">
        <v>45602</v>
      </c>
      <c r="N45" s="19">
        <v>19.850000000000001</v>
      </c>
      <c r="O45" s="24">
        <f t="shared" si="6"/>
        <v>-1.7326732673267221E-2</v>
      </c>
      <c r="R45" s="18">
        <v>45602</v>
      </c>
      <c r="S45" s="19">
        <v>277.25</v>
      </c>
      <c r="T45" s="17">
        <f t="shared" si="7"/>
        <v>-1.9451812555260833E-2</v>
      </c>
    </row>
    <row r="46" spans="3:20" ht="16.5" customHeight="1" x14ac:dyDescent="0.3">
      <c r="C46" s="15">
        <v>45601</v>
      </c>
      <c r="D46" s="16">
        <v>1097720.8</v>
      </c>
      <c r="E46" s="17">
        <f t="shared" si="4"/>
        <v>1.6811615231102982E-2</v>
      </c>
      <c r="H46" s="18">
        <v>45601</v>
      </c>
      <c r="I46" s="19">
        <v>33.229999999999997</v>
      </c>
      <c r="J46" s="17">
        <f t="shared" si="5"/>
        <v>3.0184123151220741E-3</v>
      </c>
      <c r="M46" s="18">
        <v>45601</v>
      </c>
      <c r="N46" s="19">
        <v>19.329999999999998</v>
      </c>
      <c r="O46" s="24">
        <f t="shared" si="6"/>
        <v>-2.6196473551637435E-2</v>
      </c>
      <c r="R46" s="18">
        <v>45601</v>
      </c>
      <c r="S46" s="19">
        <v>272.25</v>
      </c>
      <c r="T46" s="17">
        <f t="shared" si="7"/>
        <v>-1.8034265103697024E-2</v>
      </c>
    </row>
    <row r="47" spans="3:20" ht="16.5" customHeight="1" x14ac:dyDescent="0.3">
      <c r="C47" s="15">
        <v>45600</v>
      </c>
      <c r="D47" s="16">
        <v>1104500.6000000001</v>
      </c>
      <c r="E47" s="17">
        <f t="shared" si="4"/>
        <v>6.1762517390579154E-3</v>
      </c>
      <c r="H47" s="18">
        <v>45600</v>
      </c>
      <c r="I47" s="19">
        <v>33.090000000000003</v>
      </c>
      <c r="J47" s="17">
        <f t="shared" si="5"/>
        <v>-4.213060487511089E-3</v>
      </c>
      <c r="M47" s="18">
        <v>45600</v>
      </c>
      <c r="N47" s="19">
        <v>19.309999999999999</v>
      </c>
      <c r="O47" s="24">
        <f t="shared" si="6"/>
        <v>-1.0346611484738529E-3</v>
      </c>
      <c r="R47" s="18">
        <v>45600</v>
      </c>
      <c r="S47" s="19">
        <v>268.5</v>
      </c>
      <c r="T47" s="17">
        <f t="shared" si="7"/>
        <v>-1.3774104683195593E-2</v>
      </c>
    </row>
    <row r="48" spans="3:20" ht="16.5" customHeight="1" x14ac:dyDescent="0.3">
      <c r="C48" s="15">
        <v>45597</v>
      </c>
      <c r="D48" s="16">
        <v>1102488.48</v>
      </c>
      <c r="E48" s="17">
        <f t="shared" si="4"/>
        <v>-1.821746407380957E-3</v>
      </c>
      <c r="H48" s="18">
        <v>45597</v>
      </c>
      <c r="I48" s="19">
        <v>32.64</v>
      </c>
      <c r="J48" s="17">
        <f t="shared" si="5"/>
        <v>-1.3599274705349133E-2</v>
      </c>
      <c r="M48" s="18">
        <v>45597</v>
      </c>
      <c r="N48" s="19">
        <v>20.32</v>
      </c>
      <c r="O48" s="24">
        <f t="shared" si="6"/>
        <v>5.2304505437597182E-2</v>
      </c>
      <c r="R48" s="18">
        <v>45597</v>
      </c>
      <c r="S48" s="19">
        <v>273</v>
      </c>
      <c r="T48" s="17">
        <f t="shared" si="7"/>
        <v>1.6759776536312849E-2</v>
      </c>
    </row>
    <row r="49" spans="3:20" ht="16.5" customHeight="1" x14ac:dyDescent="0.3">
      <c r="C49" s="15">
        <v>45596</v>
      </c>
      <c r="D49" s="16">
        <v>1116845.27</v>
      </c>
      <c r="E49" s="17">
        <f t="shared" si="4"/>
        <v>1.3022167814397514E-2</v>
      </c>
      <c r="H49" s="18">
        <v>45596</v>
      </c>
      <c r="I49" s="19">
        <v>32.51</v>
      </c>
      <c r="J49" s="17">
        <f t="shared" si="5"/>
        <v>-3.9828431372549806E-3</v>
      </c>
      <c r="M49" s="18">
        <v>45596</v>
      </c>
      <c r="N49" s="19">
        <v>20.56</v>
      </c>
      <c r="O49" s="24">
        <f t="shared" si="6"/>
        <v>1.1811023622047168E-2</v>
      </c>
      <c r="R49" s="18">
        <v>45596</v>
      </c>
      <c r="S49" s="19">
        <v>272.5</v>
      </c>
      <c r="T49" s="17">
        <f t="shared" si="7"/>
        <v>-1.8315018315018315E-3</v>
      </c>
    </row>
    <row r="50" spans="3:20" ht="16.5" customHeight="1" x14ac:dyDescent="0.3">
      <c r="C50" s="15">
        <v>45595</v>
      </c>
      <c r="D50" s="16">
        <v>1133777.3999999999</v>
      </c>
      <c r="E50" s="17">
        <f t="shared" si="4"/>
        <v>1.5160676644133423E-2</v>
      </c>
      <c r="H50" s="18">
        <v>45595</v>
      </c>
      <c r="I50" s="19">
        <v>32.5</v>
      </c>
      <c r="J50" s="17">
        <f t="shared" si="5"/>
        <v>-3.0759766225770565E-4</v>
      </c>
      <c r="M50" s="18">
        <v>45595</v>
      </c>
      <c r="N50" s="19">
        <v>20.86</v>
      </c>
      <c r="O50" s="24">
        <f t="shared" si="6"/>
        <v>1.4591439688715988E-2</v>
      </c>
      <c r="R50" s="18">
        <v>45595</v>
      </c>
      <c r="S50" s="19">
        <v>277.5</v>
      </c>
      <c r="T50" s="17">
        <f t="shared" si="7"/>
        <v>1.834862385321101E-2</v>
      </c>
    </row>
    <row r="51" spans="3:20" ht="16.5" customHeight="1" x14ac:dyDescent="0.3">
      <c r="C51" s="15">
        <v>45590</v>
      </c>
      <c r="D51" s="16">
        <v>1121819.49</v>
      </c>
      <c r="E51" s="17">
        <f t="shared" si="4"/>
        <v>-1.0546964509964582E-2</v>
      </c>
      <c r="H51" s="18">
        <v>45590</v>
      </c>
      <c r="I51" s="19">
        <v>32.229999999999997</v>
      </c>
      <c r="J51" s="17">
        <f t="shared" si="5"/>
        <v>-8.3076923076924047E-3</v>
      </c>
      <c r="M51" s="18">
        <v>45590</v>
      </c>
      <c r="N51" s="19">
        <v>20.64</v>
      </c>
      <c r="O51" s="24">
        <f t="shared" si="6"/>
        <v>-1.0546500479386331E-2</v>
      </c>
      <c r="R51" s="18">
        <v>45590</v>
      </c>
      <c r="S51" s="19">
        <v>276</v>
      </c>
      <c r="T51" s="17">
        <f t="shared" si="7"/>
        <v>-5.4054054054054057E-3</v>
      </c>
    </row>
    <row r="52" spans="3:20" ht="16.5" customHeight="1" x14ac:dyDescent="0.3">
      <c r="C52" s="15">
        <v>45589</v>
      </c>
      <c r="D52" s="16">
        <v>1141750.81</v>
      </c>
      <c r="E52" s="17">
        <f t="shared" si="4"/>
        <v>1.7766958211788659E-2</v>
      </c>
      <c r="H52" s="18">
        <v>45589</v>
      </c>
      <c r="I52" s="19">
        <v>32.119999999999997</v>
      </c>
      <c r="J52" s="17">
        <f t="shared" si="5"/>
        <v>-3.4129692832764332E-3</v>
      </c>
      <c r="M52" s="18">
        <v>45589</v>
      </c>
      <c r="N52" s="19">
        <v>20.7</v>
      </c>
      <c r="O52" s="24">
        <f t="shared" si="6"/>
        <v>2.9069767441859845E-3</v>
      </c>
      <c r="R52" s="18">
        <v>45589</v>
      </c>
      <c r="S52" s="19">
        <v>273.75</v>
      </c>
      <c r="T52" s="17">
        <f t="shared" si="7"/>
        <v>-8.152173913043478E-3</v>
      </c>
    </row>
    <row r="53" spans="3:20" ht="16.5" customHeight="1" x14ac:dyDescent="0.3">
      <c r="C53" s="15">
        <v>45588</v>
      </c>
      <c r="D53" s="16">
        <v>1130845.6299999999</v>
      </c>
      <c r="E53" s="17">
        <f t="shared" si="4"/>
        <v>-9.5512785316089824E-3</v>
      </c>
      <c r="H53" s="18">
        <v>45588</v>
      </c>
      <c r="I53" s="19">
        <v>31.97</v>
      </c>
      <c r="J53" s="17">
        <f t="shared" si="5"/>
        <v>-4.6699875466998317E-3</v>
      </c>
      <c r="M53" s="18">
        <v>45588</v>
      </c>
      <c r="N53" s="19">
        <v>20.58</v>
      </c>
      <c r="O53" s="24">
        <f t="shared" si="6"/>
        <v>-5.797101449275411E-3</v>
      </c>
      <c r="R53" s="18">
        <v>45588</v>
      </c>
      <c r="S53" s="19">
        <v>267.75</v>
      </c>
      <c r="T53" s="17">
        <f t="shared" si="7"/>
        <v>-2.1917808219178082E-2</v>
      </c>
    </row>
    <row r="54" spans="3:20" ht="16.5" customHeight="1" x14ac:dyDescent="0.3">
      <c r="C54" s="15">
        <v>45587</v>
      </c>
      <c r="D54" s="16">
        <v>1121147.56</v>
      </c>
      <c r="E54" s="17">
        <f t="shared" si="4"/>
        <v>-8.5759450651101098E-3</v>
      </c>
      <c r="H54" s="18">
        <v>45587</v>
      </c>
      <c r="I54" s="19">
        <v>31.82</v>
      </c>
      <c r="J54" s="17">
        <f t="shared" si="5"/>
        <v>-4.6918986549890082E-3</v>
      </c>
      <c r="M54" s="18">
        <v>45587</v>
      </c>
      <c r="N54" s="19">
        <v>21.4</v>
      </c>
      <c r="O54" s="24">
        <f t="shared" si="6"/>
        <v>3.9844509232264354E-2</v>
      </c>
      <c r="R54" s="18">
        <v>45587</v>
      </c>
      <c r="S54" s="19">
        <v>274.75</v>
      </c>
      <c r="T54" s="17">
        <f t="shared" si="7"/>
        <v>2.6143790849673203E-2</v>
      </c>
    </row>
    <row r="55" spans="3:20" ht="16.5" customHeight="1" x14ac:dyDescent="0.3">
      <c r="C55" s="15">
        <v>45586</v>
      </c>
      <c r="D55" s="16">
        <v>1127871.3999999999</v>
      </c>
      <c r="E55" s="17">
        <f t="shared" si="4"/>
        <v>5.9972837116996896E-3</v>
      </c>
      <c r="H55" s="18">
        <v>45586</v>
      </c>
      <c r="I55" s="19">
        <v>31.76</v>
      </c>
      <c r="J55" s="17">
        <f t="shared" si="5"/>
        <v>-1.8856065367692872E-3</v>
      </c>
      <c r="M55" s="18">
        <v>45586</v>
      </c>
      <c r="N55" s="19">
        <v>21.34</v>
      </c>
      <c r="O55" s="24">
        <f t="shared" si="6"/>
        <v>-2.8037383177569497E-3</v>
      </c>
      <c r="R55" s="18">
        <v>45586</v>
      </c>
      <c r="S55" s="19">
        <v>269.5</v>
      </c>
      <c r="T55" s="17">
        <f t="shared" si="7"/>
        <v>-1.9108280254777069E-2</v>
      </c>
    </row>
    <row r="56" spans="3:20" ht="16.5" customHeight="1" x14ac:dyDescent="0.3">
      <c r="C56" s="15">
        <v>45583</v>
      </c>
      <c r="D56" s="16">
        <v>1117216.96</v>
      </c>
      <c r="E56" s="17">
        <f t="shared" si="4"/>
        <v>-9.4465025001963382E-3</v>
      </c>
      <c r="H56" s="18">
        <v>45583</v>
      </c>
      <c r="I56" s="19">
        <v>31.63</v>
      </c>
      <c r="J56" s="17">
        <f t="shared" si="5"/>
        <v>-4.0931989924434054E-3</v>
      </c>
      <c r="M56" s="18">
        <v>45583</v>
      </c>
      <c r="N56" s="19">
        <v>21.3</v>
      </c>
      <c r="O56" s="24">
        <f t="shared" si="6"/>
        <v>-1.8744142455482263E-3</v>
      </c>
      <c r="R56" s="18">
        <v>45583</v>
      </c>
      <c r="S56" s="19">
        <v>268</v>
      </c>
      <c r="T56" s="17">
        <f t="shared" si="7"/>
        <v>-5.5658627087198514E-3</v>
      </c>
    </row>
    <row r="57" spans="3:20" ht="16.5" customHeight="1" x14ac:dyDescent="0.3">
      <c r="C57" s="15">
        <v>45582</v>
      </c>
      <c r="D57" s="16">
        <v>1106027.94</v>
      </c>
      <c r="E57" s="17">
        <f t="shared" si="4"/>
        <v>-1.0015082477802717E-2</v>
      </c>
      <c r="H57" s="18">
        <v>45582</v>
      </c>
      <c r="I57" s="19">
        <v>31.57</v>
      </c>
      <c r="J57" s="17">
        <f t="shared" si="5"/>
        <v>-1.8969332911792198E-3</v>
      </c>
      <c r="M57" s="18">
        <v>45582</v>
      </c>
      <c r="N57" s="19">
        <v>22.18</v>
      </c>
      <c r="O57" s="24">
        <f t="shared" si="6"/>
        <v>4.1314553990610278E-2</v>
      </c>
      <c r="R57" s="18">
        <v>45582</v>
      </c>
      <c r="S57" s="19">
        <v>273.5</v>
      </c>
      <c r="T57" s="17">
        <f t="shared" si="7"/>
        <v>2.0522388059701493E-2</v>
      </c>
    </row>
    <row r="58" spans="3:20" ht="16.5" customHeight="1" x14ac:dyDescent="0.3">
      <c r="C58" s="15">
        <v>45581</v>
      </c>
      <c r="D58" s="16">
        <v>1093718.29</v>
      </c>
      <c r="E58" s="17">
        <f t="shared" si="4"/>
        <v>-1.1129601301030341E-2</v>
      </c>
      <c r="H58" s="18">
        <v>45581</v>
      </c>
      <c r="I58" s="19">
        <v>31.49</v>
      </c>
      <c r="J58" s="17">
        <f t="shared" si="5"/>
        <v>-2.534051314539178E-3</v>
      </c>
      <c r="M58" s="18">
        <v>45581</v>
      </c>
      <c r="N58" s="19">
        <v>21.68</v>
      </c>
      <c r="O58" s="24">
        <f t="shared" si="6"/>
        <v>-2.2542831379621282E-2</v>
      </c>
      <c r="R58" s="18">
        <v>45581</v>
      </c>
      <c r="S58" s="19">
        <v>269.25</v>
      </c>
      <c r="T58" s="17">
        <f t="shared" si="7"/>
        <v>-1.5539305301645339E-2</v>
      </c>
    </row>
    <row r="59" spans="3:20" ht="16.5" customHeight="1" x14ac:dyDescent="0.3">
      <c r="C59" s="15">
        <v>45580</v>
      </c>
      <c r="D59" s="16">
        <v>1084579.95</v>
      </c>
      <c r="E59" s="17">
        <f t="shared" si="4"/>
        <v>-8.3552959510260032E-3</v>
      </c>
      <c r="H59" s="18">
        <v>45580</v>
      </c>
      <c r="I59" s="19">
        <v>31.53</v>
      </c>
      <c r="J59" s="17">
        <f t="shared" si="5"/>
        <v>1.2702445220705845E-3</v>
      </c>
      <c r="M59" s="18">
        <v>45580</v>
      </c>
      <c r="N59" s="19">
        <v>21.98</v>
      </c>
      <c r="O59" s="24">
        <f t="shared" si="6"/>
        <v>1.3837638376383797E-2</v>
      </c>
      <c r="R59" s="18">
        <v>45580</v>
      </c>
      <c r="S59" s="19">
        <v>268</v>
      </c>
      <c r="T59" s="17">
        <f t="shared" si="7"/>
        <v>-4.642525533890436E-3</v>
      </c>
    </row>
    <row r="60" spans="3:20" ht="16.5" customHeight="1" x14ac:dyDescent="0.3">
      <c r="C60" s="15">
        <v>45579</v>
      </c>
      <c r="D60" s="16">
        <v>1083935.2</v>
      </c>
      <c r="E60" s="17">
        <f t="shared" si="4"/>
        <v>-5.9446977606399608E-4</v>
      </c>
      <c r="H60" s="18">
        <v>45579</v>
      </c>
      <c r="I60" s="19">
        <v>31.28</v>
      </c>
      <c r="J60" s="17">
        <f t="shared" si="5"/>
        <v>-7.9289565493181093E-3</v>
      </c>
      <c r="M60" s="18">
        <v>45579</v>
      </c>
      <c r="N60" s="19">
        <v>21.8</v>
      </c>
      <c r="O60" s="24">
        <f t="shared" si="6"/>
        <v>-8.1892629663330163E-3</v>
      </c>
      <c r="R60" s="18">
        <v>45579</v>
      </c>
      <c r="S60" s="19">
        <v>257.75</v>
      </c>
      <c r="T60" s="17">
        <f t="shared" si="7"/>
        <v>-3.8246268656716417E-2</v>
      </c>
    </row>
    <row r="61" spans="3:20" ht="16.5" customHeight="1" x14ac:dyDescent="0.3">
      <c r="C61" s="15">
        <v>45576</v>
      </c>
      <c r="D61" s="16">
        <v>1074673.6499999999</v>
      </c>
      <c r="E61" s="17">
        <f t="shared" si="4"/>
        <v>-8.544376084474465E-3</v>
      </c>
      <c r="H61" s="18">
        <v>45576</v>
      </c>
      <c r="I61" s="19">
        <v>30.72</v>
      </c>
      <c r="J61" s="17">
        <f t="shared" si="5"/>
        <v>-1.7902813299232809E-2</v>
      </c>
      <c r="M61" s="18">
        <v>45576</v>
      </c>
      <c r="N61" s="19">
        <v>21.72</v>
      </c>
      <c r="O61" s="24">
        <f t="shared" si="6"/>
        <v>-3.6697247706422866E-3</v>
      </c>
      <c r="R61" s="18">
        <v>45576</v>
      </c>
      <c r="S61" s="19">
        <v>264.75</v>
      </c>
      <c r="T61" s="17">
        <f t="shared" si="7"/>
        <v>2.7158098933074686E-2</v>
      </c>
    </row>
    <row r="62" spans="3:20" ht="16.5" customHeight="1" x14ac:dyDescent="0.3">
      <c r="C62" s="15">
        <v>45575</v>
      </c>
      <c r="D62" s="16">
        <v>1058316.46</v>
      </c>
      <c r="E62" s="17">
        <f t="shared" si="4"/>
        <v>-1.522061139211885E-2</v>
      </c>
      <c r="H62" s="18">
        <v>45575</v>
      </c>
      <c r="I62" s="19">
        <v>30.56</v>
      </c>
      <c r="J62" s="17">
        <f t="shared" si="5"/>
        <v>-5.2083333333333382E-3</v>
      </c>
      <c r="M62" s="18">
        <v>45575</v>
      </c>
      <c r="N62" s="19">
        <v>22.06</v>
      </c>
      <c r="O62" s="24">
        <f t="shared" si="6"/>
        <v>1.5653775322283604E-2</v>
      </c>
      <c r="R62" s="18">
        <v>45575</v>
      </c>
      <c r="S62" s="19">
        <v>266.5</v>
      </c>
      <c r="T62" s="17">
        <f t="shared" si="7"/>
        <v>6.6100094428706326E-3</v>
      </c>
    </row>
    <row r="63" spans="3:20" ht="16.5" customHeight="1" x14ac:dyDescent="0.3">
      <c r="C63" s="15">
        <v>45574</v>
      </c>
      <c r="D63" s="16">
        <v>1044420.76</v>
      </c>
      <c r="E63" s="17">
        <f t="shared" si="4"/>
        <v>-1.3130004611286075E-2</v>
      </c>
      <c r="H63" s="18">
        <v>45574</v>
      </c>
      <c r="I63" s="19">
        <v>30.56</v>
      </c>
      <c r="J63" s="17">
        <f t="shared" si="5"/>
        <v>0</v>
      </c>
      <c r="M63" s="18">
        <v>45574</v>
      </c>
      <c r="N63" s="19">
        <v>23.3</v>
      </c>
      <c r="O63" s="24">
        <f t="shared" si="6"/>
        <v>5.6210335448776155E-2</v>
      </c>
      <c r="R63" s="18">
        <v>45574</v>
      </c>
      <c r="S63" s="19">
        <v>270.25</v>
      </c>
      <c r="T63" s="17">
        <f t="shared" si="7"/>
        <v>1.4071294559099437E-2</v>
      </c>
    </row>
    <row r="64" spans="3:20" ht="16.5" customHeight="1" x14ac:dyDescent="0.3">
      <c r="C64" s="15">
        <v>45573</v>
      </c>
      <c r="D64" s="16">
        <v>1064767.76</v>
      </c>
      <c r="E64" s="17">
        <f t="shared" si="4"/>
        <v>1.9481611989405494E-2</v>
      </c>
      <c r="H64" s="18">
        <v>45573</v>
      </c>
      <c r="I64" s="19">
        <v>30.77</v>
      </c>
      <c r="J64" s="17">
        <f t="shared" si="5"/>
        <v>6.8717277486911275E-3</v>
      </c>
      <c r="M64" s="18">
        <v>45573</v>
      </c>
      <c r="N64" s="19">
        <v>23.62</v>
      </c>
      <c r="O64" s="24">
        <f t="shared" si="6"/>
        <v>1.3733905579399153E-2</v>
      </c>
      <c r="R64" s="18">
        <v>45573</v>
      </c>
      <c r="S64" s="19">
        <v>270.75</v>
      </c>
      <c r="T64" s="17">
        <f t="shared" si="7"/>
        <v>1.8501387604070306E-3</v>
      </c>
    </row>
    <row r="65" spans="2:20" ht="16.5" customHeight="1" x14ac:dyDescent="0.3">
      <c r="C65" s="15">
        <v>45572</v>
      </c>
      <c r="D65" s="16">
        <v>1076324.32</v>
      </c>
      <c r="E65" s="17">
        <f t="shared" si="4"/>
        <v>1.085359684444245E-2</v>
      </c>
      <c r="H65" s="18">
        <v>45572</v>
      </c>
      <c r="I65" s="19">
        <v>30.85</v>
      </c>
      <c r="J65" s="17">
        <f t="shared" si="5"/>
        <v>2.5999350016250194E-3</v>
      </c>
      <c r="M65" s="18">
        <v>45572</v>
      </c>
      <c r="N65" s="19">
        <v>23.32</v>
      </c>
      <c r="O65" s="24">
        <f t="shared" si="6"/>
        <v>-1.2701100762066075E-2</v>
      </c>
      <c r="R65" s="18">
        <v>45572</v>
      </c>
      <c r="S65" s="19">
        <v>270.5</v>
      </c>
      <c r="T65" s="17">
        <f t="shared" si="7"/>
        <v>-9.2336103416435823E-4</v>
      </c>
    </row>
    <row r="66" spans="2:20" ht="16.5" customHeight="1" x14ac:dyDescent="0.3">
      <c r="C66" s="15">
        <v>45569</v>
      </c>
      <c r="D66" s="16">
        <v>1096220.53</v>
      </c>
      <c r="E66" s="17">
        <f t="shared" si="4"/>
        <v>1.8485329774951067E-2</v>
      </c>
      <c r="H66" s="18">
        <v>45569</v>
      </c>
      <c r="I66" s="19">
        <v>30.77</v>
      </c>
      <c r="J66" s="17">
        <f t="shared" si="5"/>
        <v>-2.5931928687196707E-3</v>
      </c>
      <c r="M66" s="18">
        <v>45569</v>
      </c>
      <c r="N66" s="19">
        <v>23.1</v>
      </c>
      <c r="O66" s="24">
        <f t="shared" si="6"/>
        <v>-9.4339622641508945E-3</v>
      </c>
      <c r="R66" s="18">
        <v>45569</v>
      </c>
      <c r="S66" s="19">
        <v>273.75</v>
      </c>
      <c r="T66" s="17">
        <f t="shared" si="7"/>
        <v>1.2014787430683918E-2</v>
      </c>
    </row>
    <row r="67" spans="2:20" ht="16.5" customHeight="1" x14ac:dyDescent="0.3">
      <c r="C67" s="15">
        <v>45568</v>
      </c>
      <c r="D67" s="16">
        <v>1080542.8999999999</v>
      </c>
      <c r="E67" s="17">
        <f t="shared" si="4"/>
        <v>-1.4301529273494012E-2</v>
      </c>
      <c r="H67" s="18">
        <v>45568</v>
      </c>
      <c r="I67" s="19">
        <v>30.99</v>
      </c>
      <c r="J67" s="17">
        <f t="shared" si="5"/>
        <v>7.1498212544686014E-3</v>
      </c>
      <c r="M67" s="18">
        <v>45568</v>
      </c>
      <c r="N67" s="19">
        <v>21.64</v>
      </c>
      <c r="O67" s="24">
        <f t="shared" si="6"/>
        <v>-6.3203463203463234E-2</v>
      </c>
      <c r="R67" s="18">
        <v>45568</v>
      </c>
      <c r="S67" s="19">
        <v>268.75</v>
      </c>
      <c r="T67" s="17">
        <f t="shared" si="7"/>
        <v>-1.8264840182648401E-2</v>
      </c>
    </row>
    <row r="68" spans="2:20" ht="16.5" customHeight="1" x14ac:dyDescent="0.3">
      <c r="C68" s="15">
        <v>45567</v>
      </c>
      <c r="D68" s="16">
        <v>1113418.6299999999</v>
      </c>
      <c r="E68" s="17">
        <f t="shared" si="4"/>
        <v>3.042519644523136E-2</v>
      </c>
      <c r="H68" s="18">
        <v>45567</v>
      </c>
      <c r="I68" s="19">
        <v>30.32</v>
      </c>
      <c r="J68" s="17">
        <f t="shared" si="5"/>
        <v>-2.1619877379799878E-2</v>
      </c>
      <c r="M68" s="18">
        <v>45567</v>
      </c>
      <c r="N68" s="19">
        <v>21.38</v>
      </c>
      <c r="O68" s="24">
        <f t="shared" si="6"/>
        <v>-1.2014787430683991E-2</v>
      </c>
      <c r="R68" s="18">
        <v>45567</v>
      </c>
      <c r="S68" s="19">
        <v>271.5</v>
      </c>
      <c r="T68" s="17">
        <f t="shared" si="7"/>
        <v>1.0232558139534883E-2</v>
      </c>
    </row>
    <row r="69" spans="2:20" ht="16.5" customHeight="1" x14ac:dyDescent="0.3">
      <c r="C69" s="15">
        <v>45566</v>
      </c>
      <c r="D69" s="16">
        <v>1093515.3899999999</v>
      </c>
      <c r="E69" s="17">
        <f t="shared" ref="E69:E72" si="8">(D69-D68)/D68</f>
        <v>-1.7875792144774867E-2</v>
      </c>
      <c r="H69" s="18">
        <v>45566</v>
      </c>
      <c r="I69" s="19">
        <v>30.16</v>
      </c>
      <c r="J69" s="17">
        <f t="shared" ref="J69:J72" si="9">(I69-I68)/I68</f>
        <v>-5.2770448548812715E-3</v>
      </c>
      <c r="M69" s="18">
        <v>45566</v>
      </c>
      <c r="N69" s="19">
        <v>22.36</v>
      </c>
      <c r="O69" s="24">
        <f t="shared" ref="O69:O72" si="10">(N69-N68)/N68</f>
        <v>4.5837231057062701E-2</v>
      </c>
      <c r="R69" s="18">
        <v>45566</v>
      </c>
      <c r="S69" s="19">
        <v>277.75</v>
      </c>
      <c r="T69" s="17">
        <f t="shared" ref="T69:T72" si="11">(S69-S68)/S68</f>
        <v>2.3020257826887661E-2</v>
      </c>
    </row>
    <row r="70" spans="2:20" ht="16.5" customHeight="1" x14ac:dyDescent="0.3">
      <c r="C70" s="15">
        <v>45565</v>
      </c>
      <c r="D70" s="16">
        <v>1082129.8899999999</v>
      </c>
      <c r="E70" s="17">
        <f t="shared" si="8"/>
        <v>-1.0411833344201952E-2</v>
      </c>
      <c r="H70" s="18">
        <v>45565</v>
      </c>
      <c r="I70" s="19">
        <v>29.86</v>
      </c>
      <c r="J70" s="17">
        <f t="shared" si="9"/>
        <v>-9.9469496021220398E-3</v>
      </c>
      <c r="M70" s="18">
        <v>45565</v>
      </c>
      <c r="N70" s="19">
        <v>22.88</v>
      </c>
      <c r="O70" s="24">
        <f t="shared" si="10"/>
        <v>2.3255813953488354E-2</v>
      </c>
      <c r="R70" s="18">
        <v>45565</v>
      </c>
      <c r="S70" s="19">
        <v>285</v>
      </c>
      <c r="T70" s="17">
        <f t="shared" si="11"/>
        <v>2.6102610261026102E-2</v>
      </c>
    </row>
    <row r="71" spans="2:20" ht="16.5" customHeight="1" x14ac:dyDescent="0.3">
      <c r="C71" s="15">
        <v>45562</v>
      </c>
      <c r="D71" s="16">
        <v>1116877.3400000001</v>
      </c>
      <c r="E71" s="17">
        <f t="shared" si="8"/>
        <v>3.2110239557286591E-2</v>
      </c>
      <c r="H71" s="18">
        <v>45562</v>
      </c>
      <c r="I71" s="19">
        <v>29.94</v>
      </c>
      <c r="J71" s="17">
        <f t="shared" si="9"/>
        <v>2.6791694574682468E-3</v>
      </c>
      <c r="M71" s="18">
        <v>45562</v>
      </c>
      <c r="N71" s="19">
        <v>22.34</v>
      </c>
      <c r="O71" s="24">
        <f t="shared" si="10"/>
        <v>-2.3601398601398565E-2</v>
      </c>
      <c r="R71" s="18">
        <v>45562</v>
      </c>
      <c r="S71" s="19">
        <v>292.25</v>
      </c>
      <c r="T71" s="17">
        <f t="shared" si="11"/>
        <v>2.5438596491228069E-2</v>
      </c>
    </row>
    <row r="72" spans="2:20" ht="16.5" customHeight="1" x14ac:dyDescent="0.3">
      <c r="C72" s="15">
        <v>45561</v>
      </c>
      <c r="D72" s="16">
        <v>1111981.0900000001</v>
      </c>
      <c r="E72" s="17">
        <f t="shared" si="8"/>
        <v>-4.3838744190118489E-3</v>
      </c>
      <c r="H72" s="18">
        <v>45561</v>
      </c>
      <c r="I72" s="19">
        <v>30.17</v>
      </c>
      <c r="J72" s="17">
        <f t="shared" si="9"/>
        <v>7.6820307281229268E-3</v>
      </c>
      <c r="M72" s="18">
        <v>45561</v>
      </c>
      <c r="N72" s="19">
        <v>23.16</v>
      </c>
      <c r="O72" s="24">
        <f t="shared" si="10"/>
        <v>3.6705461056401087E-2</v>
      </c>
      <c r="R72" s="18">
        <v>45561</v>
      </c>
      <c r="S72" s="19">
        <v>291.25</v>
      </c>
      <c r="T72" s="17">
        <f t="shared" si="11"/>
        <v>-3.4217279726261761E-3</v>
      </c>
    </row>
    <row r="75" spans="2:20" ht="14.25" customHeight="1" x14ac:dyDescent="0.3">
      <c r="B75" s="38"/>
      <c r="C75" s="38"/>
      <c r="G75" s="38"/>
      <c r="H75" s="38"/>
      <c r="I75" s="38"/>
      <c r="J75" s="38"/>
      <c r="K75" s="38"/>
      <c r="L75" s="38"/>
    </row>
    <row r="76" spans="2:20" ht="14.25" customHeight="1" x14ac:dyDescent="0.3">
      <c r="J76" s="39"/>
      <c r="K76" s="39"/>
    </row>
    <row r="77" spans="2:20" ht="14.25" customHeight="1" x14ac:dyDescent="0.3">
      <c r="E77" s="40"/>
      <c r="F77" s="40"/>
      <c r="G77" s="39"/>
      <c r="J77" s="39"/>
      <c r="K77" s="39"/>
      <c r="L77" s="40"/>
    </row>
    <row r="78" spans="2:20" ht="14.25" customHeight="1" x14ac:dyDescent="0.3">
      <c r="K78" s="39"/>
      <c r="L78" s="39"/>
      <c r="Q78" s="41"/>
    </row>
  </sheetData>
  <mergeCells count="10">
    <mergeCell ref="C2:E2"/>
    <mergeCell ref="H2:J2"/>
    <mergeCell ref="M2:O2"/>
    <mergeCell ref="R2:T2"/>
    <mergeCell ref="AE2:AH2"/>
    <mergeCell ref="B4:B10"/>
    <mergeCell ref="G4:G10"/>
    <mergeCell ref="L4:L10"/>
    <mergeCell ref="Q4:Q10"/>
    <mergeCell ref="AA14:AF23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4</vt:i4>
      </vt:variant>
    </vt:vector>
  </HeadingPairs>
  <TitlesOfParts>
    <vt:vector size="5" baseType="lpstr">
      <vt:lpstr>Sayfa1</vt:lpstr>
      <vt:lpstr>platingetiri</vt:lpstr>
      <vt:lpstr>tahvilgetiri</vt:lpstr>
      <vt:lpstr>thygetiri</vt:lpstr>
      <vt:lpstr>vakıfgetiri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ASLINUR BENLİ</dc:creator>
  <dc:description/>
  <cp:lastModifiedBy>ASLINUR BENLİ</cp:lastModifiedBy>
  <cp:revision>0</cp:revision>
  <cp:lastPrinted>2025-01-10T16:45:22Z</cp:lastPrinted>
  <dcterms:created xsi:type="dcterms:W3CDTF">2025-01-05T20:58:29Z</dcterms:created>
  <dcterms:modified xsi:type="dcterms:W3CDTF">2026-07-07T18:47:43Z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0x01010008274A126D7C9C4481462DB679DBC619</vt:lpwstr>
  </property>
</Properties>
</file>